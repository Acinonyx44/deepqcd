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6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Tradeoff &amp; ROC" sheetId="9" r:id="rId1"/>
    <sheet name="RNN+Reg" sheetId="8" r:id="rId2"/>
    <sheet name="DRQN" sheetId="5" r:id="rId3"/>
    <sheet name="RNN prediction version" sheetId="11" r:id="rId4"/>
  </sheets>
  <calcPr calcId="152511"/>
</workbook>
</file>

<file path=xl/calcChain.xml><?xml version="1.0" encoding="utf-8"?>
<calcChain xmlns="http://schemas.openxmlformats.org/spreadsheetml/2006/main">
  <c r="I16" i="9" l="1"/>
  <c r="I21" i="9" l="1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19" i="9"/>
  <c r="I20" i="9"/>
  <c r="D35" i="9"/>
  <c r="D33" i="9"/>
  <c r="D32" i="9"/>
  <c r="D30" i="9"/>
  <c r="D29" i="9"/>
  <c r="D27" i="9"/>
  <c r="D26" i="9"/>
  <c r="D24" i="9"/>
  <c r="I13" i="9"/>
  <c r="I14" i="9"/>
  <c r="I15" i="9"/>
  <c r="I17" i="9"/>
  <c r="I18" i="9"/>
  <c r="I39" i="9"/>
  <c r="I40" i="9"/>
  <c r="I41" i="9"/>
  <c r="I42" i="9"/>
  <c r="I43" i="9"/>
  <c r="I44" i="9"/>
  <c r="I45" i="9"/>
  <c r="I46" i="9"/>
  <c r="I47" i="9"/>
  <c r="I48" i="9"/>
  <c r="I49" i="9"/>
  <c r="I12" i="9"/>
  <c r="D13" i="9"/>
  <c r="D14" i="9"/>
  <c r="D15" i="9"/>
  <c r="D16" i="9"/>
  <c r="D17" i="9"/>
  <c r="D18" i="9"/>
  <c r="D19" i="9"/>
  <c r="D20" i="9"/>
  <c r="D21" i="9"/>
  <c r="D22" i="9"/>
  <c r="D23" i="9"/>
  <c r="D25" i="9"/>
  <c r="D28" i="9"/>
  <c r="D31" i="9"/>
  <c r="D34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12" i="9"/>
  <c r="I143" i="8" l="1"/>
  <c r="M164" i="8"/>
  <c r="P169" i="8" l="1"/>
  <c r="P165" i="8"/>
  <c r="P168" i="8"/>
  <c r="P164" i="8"/>
  <c r="M167" i="8"/>
  <c r="P167" i="8"/>
  <c r="P163" i="8"/>
  <c r="M166" i="8"/>
  <c r="P166" i="8"/>
  <c r="M169" i="8"/>
  <c r="M165" i="8"/>
  <c r="M168" i="8"/>
  <c r="P162" i="8"/>
  <c r="M162" i="8"/>
  <c r="M163" i="8"/>
  <c r="P161" i="8"/>
  <c r="M161" i="8"/>
  <c r="P160" i="8"/>
  <c r="M160" i="8"/>
  <c r="P159" i="8"/>
  <c r="M159" i="8"/>
  <c r="P158" i="8"/>
  <c r="M158" i="8"/>
  <c r="P157" i="8"/>
  <c r="M157" i="8"/>
  <c r="P156" i="8"/>
  <c r="M156" i="8"/>
  <c r="P155" i="8"/>
  <c r="M155" i="8"/>
  <c r="P154" i="8"/>
  <c r="M154" i="8"/>
  <c r="P153" i="8"/>
  <c r="M153" i="8"/>
  <c r="P152" i="8"/>
  <c r="M152" i="8"/>
  <c r="P151" i="8"/>
  <c r="M151" i="8"/>
  <c r="P150" i="8"/>
  <c r="M150" i="8"/>
  <c r="P149" i="8"/>
  <c r="M149" i="8"/>
  <c r="P148" i="8"/>
  <c r="M148" i="8"/>
  <c r="P147" i="8"/>
  <c r="M147" i="8"/>
  <c r="F161" i="8" l="1"/>
  <c r="I161" i="8"/>
  <c r="F159" i="8"/>
  <c r="I159" i="8"/>
  <c r="I148" i="8" l="1"/>
  <c r="I149" i="8"/>
  <c r="I150" i="8"/>
  <c r="I151" i="8"/>
  <c r="I152" i="8"/>
  <c r="I153" i="8"/>
  <c r="I154" i="8"/>
  <c r="I155" i="8"/>
  <c r="I156" i="8"/>
  <c r="I157" i="8"/>
  <c r="I158" i="8"/>
  <c r="I160" i="8"/>
  <c r="I162" i="8"/>
  <c r="I163" i="8"/>
  <c r="I147" i="8"/>
  <c r="F148" i="8"/>
  <c r="F149" i="8"/>
  <c r="F150" i="8"/>
  <c r="F151" i="8"/>
  <c r="F152" i="8"/>
  <c r="F153" i="8"/>
  <c r="F154" i="8"/>
  <c r="F155" i="8"/>
  <c r="F156" i="8"/>
  <c r="F157" i="8"/>
  <c r="F158" i="8"/>
  <c r="F160" i="8"/>
  <c r="F162" i="8"/>
  <c r="F163" i="8"/>
  <c r="F147" i="8"/>
</calcChain>
</file>

<file path=xl/sharedStrings.xml><?xml version="1.0" encoding="utf-8"?>
<sst xmlns="http://schemas.openxmlformats.org/spreadsheetml/2006/main" count="213" uniqueCount="106">
  <si>
    <t>FAR</t>
    <phoneticPr fontId="1" type="noConversion"/>
  </si>
  <si>
    <t>h</t>
    <phoneticPr fontId="1" type="noConversion"/>
  </si>
  <si>
    <t>ADD</t>
    <phoneticPr fontId="1" type="noConversion"/>
  </si>
  <si>
    <t>FAR</t>
    <phoneticPr fontId="1" type="noConversion"/>
  </si>
  <si>
    <t>Necip</t>
    <phoneticPr fontId="1" type="noConversion"/>
  </si>
  <si>
    <t>Necip v6</t>
    <phoneticPr fontId="1" type="noConversion"/>
  </si>
  <si>
    <t>Necip v8</t>
    <phoneticPr fontId="1" type="noConversion"/>
  </si>
  <si>
    <t>delay cost ^{-1}</t>
    <phoneticPr fontId="1" type="noConversion"/>
  </si>
  <si>
    <t>mu 0 to 1</t>
    <phoneticPr fontId="1" type="noConversion"/>
  </si>
  <si>
    <t>test 500 times</t>
    <phoneticPr fontId="1" type="noConversion"/>
  </si>
  <si>
    <t>CUSUM 0 to 1</t>
    <phoneticPr fontId="1" type="noConversion"/>
  </si>
  <si>
    <t xml:space="preserve">Necip v8 </t>
    <phoneticPr fontId="1" type="noConversion"/>
  </si>
  <si>
    <t>Random Seed</t>
  </si>
  <si>
    <t>LSTM only</t>
    <phoneticPr fontId="1" type="noConversion"/>
  </si>
  <si>
    <t>h</t>
    <phoneticPr fontId="1" type="noConversion"/>
  </si>
  <si>
    <t>LSTM real</t>
    <phoneticPr fontId="1" type="noConversion"/>
  </si>
  <si>
    <t>Necip v10</t>
    <phoneticPr fontId="1" type="noConversion"/>
  </si>
  <si>
    <t xml:space="preserve">CUSUM </t>
    <phoneticPr fontId="1" type="noConversion"/>
  </si>
  <si>
    <t>mu = [.3 .5 .6 .7 .7 .8 .9 1.1 1.1 1.2] arbitrary mean</t>
    <phoneticPr fontId="1" type="noConversion"/>
  </si>
  <si>
    <t>delay_cost</t>
    <phoneticPr fontId="1" type="noConversion"/>
  </si>
  <si>
    <t>test 1000 times</t>
    <phoneticPr fontId="1" type="noConversion"/>
  </si>
  <si>
    <t>test 1000 times, some point test 2000 times</t>
    <phoneticPr fontId="1" type="noConversion"/>
  </si>
  <si>
    <t>low performance</t>
    <phoneticPr fontId="1" type="noConversion"/>
  </si>
  <si>
    <t>Necip v10 0.5</t>
    <phoneticPr fontId="1" type="noConversion"/>
  </si>
  <si>
    <t>choose lowest cost</t>
    <phoneticPr fontId="1" type="noConversion"/>
  </si>
  <si>
    <t>test 200 times</t>
    <phoneticPr fontId="1" type="noConversion"/>
  </si>
  <si>
    <t>inf</t>
  </si>
  <si>
    <t>train and eval in all dev</t>
  </si>
  <si>
    <t>shape: (1024, 1024)</t>
  </si>
  <si>
    <t>eva_total_len: 164240</t>
  </si>
  <si>
    <t>train and test in different attack</t>
  </si>
  <si>
    <t>eva_total_len: 160889</t>
  </si>
  <si>
    <t>iot_dev</t>
    <phoneticPr fontId="1" type="noConversion"/>
  </si>
  <si>
    <t>benign</t>
    <phoneticPr fontId="1" type="noConversion"/>
  </si>
  <si>
    <t>attack0</t>
    <phoneticPr fontId="1" type="noConversion"/>
  </si>
  <si>
    <t>…</t>
    <phoneticPr fontId="1" type="noConversion"/>
  </si>
  <si>
    <t>…</t>
    <phoneticPr fontId="1" type="noConversion"/>
  </si>
  <si>
    <t>attack13</t>
    <phoneticPr fontId="1" type="noConversion"/>
  </si>
  <si>
    <t>train</t>
    <phoneticPr fontId="1" type="noConversion"/>
  </si>
  <si>
    <t>valid</t>
    <phoneticPr fontId="1" type="noConversion"/>
  </si>
  <si>
    <t>train and test in different dev</t>
    <phoneticPr fontId="1" type="noConversion"/>
  </si>
  <si>
    <t>h</t>
    <phoneticPr fontId="1" type="noConversion"/>
  </si>
  <si>
    <t>ADD</t>
    <phoneticPr fontId="1" type="noConversion"/>
  </si>
  <si>
    <t>FAE</t>
    <phoneticPr fontId="1" type="noConversion"/>
  </si>
  <si>
    <t>FAP</t>
    <phoneticPr fontId="1" type="noConversion"/>
  </si>
  <si>
    <t>test set</t>
    <phoneticPr fontId="1" type="noConversion"/>
  </si>
  <si>
    <t>IoT_botnet_attacks_N_BaIoT</t>
  </si>
  <si>
    <t>https://archive.ics.uci.edu/ml/datasets/detection_of_IoT_botnet_attacks_N_BaIoT</t>
    <phoneticPr fontId="1" type="noConversion"/>
  </si>
  <si>
    <t>IoT device</t>
    <phoneticPr fontId="1" type="noConversion"/>
  </si>
  <si>
    <t>Danmini_Doorbell</t>
  </si>
  <si>
    <t>SimpleHome_XCS7_1002_WHT_Security_Camera</t>
  </si>
  <si>
    <t>SimpleHome_XCS7_1003_WHT_Security_Camera</t>
    <phoneticPr fontId="1" type="noConversion"/>
  </si>
  <si>
    <t>Provision_PT_737E_Security_Camera</t>
    <phoneticPr fontId="1" type="noConversion"/>
  </si>
  <si>
    <t>Provision_PT_838_Security_Camera</t>
  </si>
  <si>
    <t>benign_traffic</t>
    <phoneticPr fontId="1" type="noConversion"/>
  </si>
  <si>
    <t>gafgyt_attacks</t>
  </si>
  <si>
    <t>combo</t>
  </si>
  <si>
    <t>scan</t>
  </si>
  <si>
    <t>tcp</t>
  </si>
  <si>
    <t>junk</t>
  </si>
  <si>
    <t>udp</t>
  </si>
  <si>
    <t>mirai_attacks</t>
  </si>
  <si>
    <t>syn</t>
  </si>
  <si>
    <t>ack</t>
    <phoneticPr fontId="1" type="noConversion"/>
  </si>
  <si>
    <t>udp</t>
    <phoneticPr fontId="1" type="noConversion"/>
  </si>
  <si>
    <t>udpplain</t>
  </si>
  <si>
    <t>Benign data</t>
    <phoneticPr fontId="1" type="noConversion"/>
  </si>
  <si>
    <t>Attack data</t>
    <phoneticPr fontId="1" type="noConversion"/>
  </si>
  <si>
    <t>Samsung_SNH_1011_N_Webcam (has gafgyt_attacks only)</t>
    <phoneticPr fontId="1" type="noConversion"/>
  </si>
  <si>
    <t>shape: (4096, 1024)</t>
  </si>
  <si>
    <t>train and eval in junk (spam attack)</t>
    <phoneticPr fontId="1" type="noConversion"/>
  </si>
  <si>
    <t>train and eval in all dev (01 label)</t>
    <phoneticPr fontId="1" type="noConversion"/>
  </si>
  <si>
    <t>shape: (4096, 1024)</t>
    <phoneticPr fontId="1" type="noConversion"/>
  </si>
  <si>
    <t>shape: (4000, 1024)</t>
    <phoneticPr fontId="1" type="noConversion"/>
  </si>
  <si>
    <t>CUSUM in 10D normal, mu:0-&gt;1</t>
    <phoneticPr fontId="1" type="noConversion"/>
  </si>
  <si>
    <t>RNN+Reg in 10D normal, mu:0-&gt;1</t>
    <phoneticPr fontId="1" type="noConversion"/>
  </si>
  <si>
    <t>h</t>
    <phoneticPr fontId="1" type="noConversion"/>
  </si>
  <si>
    <t>|FAP len(ary0_list): 156</t>
  </si>
  <si>
    <t>|FAP eva_total_len: 20916324</t>
  </si>
  <si>
    <t>FAP (t)</t>
    <phoneticPr fontId="1" type="noConversion"/>
  </si>
  <si>
    <t>FAP (sec)</t>
    <phoneticPr fontId="1" type="noConversion"/>
  </si>
  <si>
    <t>ADD (t)</t>
    <phoneticPr fontId="1" type="noConversion"/>
  </si>
  <si>
    <t>ADD (sec)</t>
    <phoneticPr fontId="1" type="noConversion"/>
  </si>
  <si>
    <t>30fps==1second</t>
    <phoneticPr fontId="1" type="noConversion"/>
  </si>
  <si>
    <t>1 t==? Sec</t>
    <phoneticPr fontId="1" type="noConversion"/>
  </si>
  <si>
    <t>|ADD len(ary0_list): 194</t>
  </si>
  <si>
    <t>Video overfit</t>
    <phoneticPr fontId="1" type="noConversion"/>
  </si>
  <si>
    <t>Video underfit</t>
    <phoneticPr fontId="1" type="noConversion"/>
  </si>
  <si>
    <t>|ADD len(ary0_list): 204</t>
  </si>
  <si>
    <t>1 t== 4 fps</t>
    <phoneticPr fontId="1" type="noConversion"/>
  </si>
  <si>
    <t>h</t>
  </si>
  <si>
    <t>AE</t>
  </si>
  <si>
    <t>TPR</t>
  </si>
  <si>
    <t>ADD</t>
  </si>
  <si>
    <t>FPR</t>
  </si>
  <si>
    <t>FAP</t>
  </si>
  <si>
    <t>RNN+REG in IoT</t>
    <phoneticPr fontId="1" type="noConversion"/>
  </si>
  <si>
    <t>|Total Normal Seqs: 1354</t>
    <phoneticPr fontId="1" type="noConversion"/>
  </si>
  <si>
    <t>|Total Normal Timestampes: 344956</t>
    <phoneticPr fontId="1" type="noConversion"/>
  </si>
  <si>
    <t>|Total Timestamps: 2649536</t>
    <phoneticPr fontId="1" type="noConversion"/>
  </si>
  <si>
    <t>|Total Seqs: 4096</t>
    <phoneticPr fontId="1" type="noConversion"/>
  </si>
  <si>
    <t>inf</t>
    <phoneticPr fontId="1" type="noConversion"/>
  </si>
  <si>
    <t>Fig. 16: ADD vs. FAP curves (IoT botnet attacks.)</t>
    <phoneticPr fontId="1" type="noConversion"/>
  </si>
  <si>
    <t>inf</t>
    <phoneticPr fontId="1" type="noConversion"/>
  </si>
  <si>
    <t>RNN (prediction + smooth version)</t>
    <phoneticPr fontId="1" type="noConversion"/>
  </si>
  <si>
    <t>RNN (prediction only version)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</si>
</sst>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2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u/>
      <sz val="11"/>
      <color theme="10"/>
      <name val="宋体"/>
      <family val="2"/>
      <scheme val="minor"/>
    </font>
    <font>
      <u/>
      <sz val="11"/>
      <color theme="10"/>
      <name val="Calibri"/>
      <family val="2"/>
    </font>
    <font>
      <b/>
      <sz val="16"/>
      <color rgb="FFC00000"/>
      <name val="Calibri"/>
      <family val="2"/>
    </font>
    <font>
      <b/>
      <sz val="16"/>
      <color rgb="FF0070C0"/>
      <name val="Calibri"/>
      <family val="2"/>
    </font>
    <font>
      <b/>
      <sz val="16"/>
      <color theme="6" tint="-0.249977111117893"/>
      <name val="Calibri"/>
      <family val="2"/>
    </font>
    <font>
      <b/>
      <sz val="16"/>
      <color theme="9"/>
      <name val="Calibri"/>
      <family val="2"/>
    </font>
    <font>
      <b/>
      <sz val="16"/>
      <color theme="8"/>
      <name val="Calibri"/>
      <family val="2"/>
    </font>
    <font>
      <b/>
      <sz val="16"/>
      <color rgb="FFFF0000"/>
      <name val="Calibri"/>
      <family val="2"/>
    </font>
    <font>
      <b/>
      <sz val="16"/>
      <color theme="1" tint="0.499984740745262"/>
      <name val="Calibri"/>
      <family val="2"/>
    </font>
    <font>
      <b/>
      <sz val="14"/>
      <color theme="1"/>
      <name val="Calibri"/>
      <family val="2"/>
    </font>
    <font>
      <b/>
      <sz val="14"/>
      <color rgb="FFC00000"/>
      <name val="Calibri"/>
      <family val="2"/>
    </font>
    <font>
      <b/>
      <sz val="14"/>
      <color rgb="FF0070C0"/>
      <name val="Calibri"/>
      <family val="2"/>
    </font>
    <font>
      <b/>
      <sz val="16"/>
      <name val="Calibri"/>
      <family val="2"/>
    </font>
    <font>
      <b/>
      <sz val="16"/>
      <color theme="3" tint="-0.24997711111789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5" fillId="5" borderId="0" xfId="0" applyFont="1" applyFill="1"/>
    <xf numFmtId="9" fontId="5" fillId="5" borderId="0" xfId="0" applyNumberFormat="1" applyFont="1" applyFill="1"/>
    <xf numFmtId="0" fontId="5" fillId="4" borderId="0" xfId="0" applyFont="1" applyFill="1"/>
    <xf numFmtId="9" fontId="5" fillId="4" borderId="0" xfId="0" applyNumberFormat="1" applyFont="1" applyFill="1"/>
    <xf numFmtId="0" fontId="5" fillId="3" borderId="0" xfId="0" applyFont="1" applyFill="1"/>
    <xf numFmtId="9" fontId="5" fillId="3" borderId="0" xfId="0" applyNumberFormat="1" applyFont="1" applyFill="1"/>
    <xf numFmtId="0" fontId="5" fillId="2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9" fillId="0" borderId="0" xfId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6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886482939632541E-2"/>
          <c:y val="4.1548630783758263E-2"/>
          <c:w val="0.84709820647419098"/>
          <c:h val="0.722508019830854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'Tradeoff &amp; ROC'!$B$7</c:f>
              <c:strCache>
                <c:ptCount val="1"/>
                <c:pt idx="0">
                  <c:v>RNN+REG in IoT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9050">
                <a:solidFill>
                  <a:srgbClr val="0070C0"/>
                </a:solidFill>
              </a:ln>
              <a:effectLst/>
            </c:spPr>
          </c:marker>
          <c:xVal>
            <c:numRef>
              <c:f>'Tradeoff &amp; ROC'!$E$12:$E$36</c:f>
              <c:numCache>
                <c:formatCode>General</c:formatCode>
                <c:ptCount val="25"/>
                <c:pt idx="0">
                  <c:v>1198.835294117647</c:v>
                </c:pt>
                <c:pt idx="1">
                  <c:v>2058.6369426751594</c:v>
                </c:pt>
                <c:pt idx="2">
                  <c:v>3022.0917431192661</c:v>
                </c:pt>
                <c:pt idx="3">
                  <c:v>4107.0987654320988</c:v>
                </c:pt>
                <c:pt idx="4">
                  <c:v>4447.2666666666664</c:v>
                </c:pt>
                <c:pt idx="5">
                  <c:v>4843.898550724638</c:v>
                </c:pt>
                <c:pt idx="6">
                  <c:v>5152.9230769230771</c:v>
                </c:pt>
                <c:pt idx="7">
                  <c:v>5496.2950819672133</c:v>
                </c:pt>
                <c:pt idx="8">
                  <c:v>5496.8688524590161</c:v>
                </c:pt>
                <c:pt idx="9">
                  <c:v>6226.5925925925922</c:v>
                </c:pt>
                <c:pt idx="10">
                  <c:v>8470.0243902439033</c:v>
                </c:pt>
                <c:pt idx="11">
                  <c:v>10952.387096774193</c:v>
                </c:pt>
                <c:pt idx="12">
                  <c:v>11884.896551724138</c:v>
                </c:pt>
                <c:pt idx="13">
                  <c:v>14611.962962962964</c:v>
                </c:pt>
                <c:pt idx="14">
                  <c:v>16533.956521739132</c:v>
                </c:pt>
                <c:pt idx="15">
                  <c:v>19882.944444444445</c:v>
                </c:pt>
                <c:pt idx="16">
                  <c:v>24359.5</c:v>
                </c:pt>
                <c:pt idx="17">
                  <c:v>33378.727272727272</c:v>
                </c:pt>
                <c:pt idx="18">
                  <c:v>42292.777777777781</c:v>
                </c:pt>
                <c:pt idx="19">
                  <c:v>52978.75</c:v>
                </c:pt>
                <c:pt idx="20">
                  <c:v>74420.833333333328</c:v>
                </c:pt>
                <c:pt idx="21">
                  <c:v>92077.2</c:v>
                </c:pt>
                <c:pt idx="22">
                  <c:v>114796</c:v>
                </c:pt>
                <c:pt idx="23">
                  <c:v>153609.5</c:v>
                </c:pt>
                <c:pt idx="24">
                  <c:v>231229</c:v>
                </c:pt>
              </c:numCache>
            </c:numRef>
          </c:xVal>
          <c:yVal>
            <c:numRef>
              <c:f>'Tradeoff &amp; ROC'!$J$12:$J$49</c:f>
              <c:numCache>
                <c:formatCode>General</c:formatCode>
                <c:ptCount val="38"/>
                <c:pt idx="0">
                  <c:v>0</c:v>
                </c:pt>
                <c:pt idx="1">
                  <c:v>9.765625E-3</c:v>
                </c:pt>
                <c:pt idx="2">
                  <c:v>5.17578125E-2</c:v>
                </c:pt>
                <c:pt idx="3">
                  <c:v>6.1767578125E-2</c:v>
                </c:pt>
                <c:pt idx="4">
                  <c:v>6.787109375E-2</c:v>
                </c:pt>
                <c:pt idx="5">
                  <c:v>8.7890625E-2</c:v>
                </c:pt>
                <c:pt idx="6">
                  <c:v>0.119873046875</c:v>
                </c:pt>
                <c:pt idx="7">
                  <c:v>0.158935546875</c:v>
                </c:pt>
                <c:pt idx="8">
                  <c:v>0.19580078125</c:v>
                </c:pt>
                <c:pt idx="9">
                  <c:v>0.220947265625</c:v>
                </c:pt>
                <c:pt idx="10">
                  <c:v>0.27978515625</c:v>
                </c:pt>
                <c:pt idx="11">
                  <c:v>0.33984375</c:v>
                </c:pt>
                <c:pt idx="12">
                  <c:v>0.3798828125</c:v>
                </c:pt>
                <c:pt idx="13">
                  <c:v>0.44677734375</c:v>
                </c:pt>
                <c:pt idx="14">
                  <c:v>0.48583984375</c:v>
                </c:pt>
                <c:pt idx="15">
                  <c:v>0.536865234375</c:v>
                </c:pt>
                <c:pt idx="16">
                  <c:v>0.620849609375</c:v>
                </c:pt>
                <c:pt idx="17">
                  <c:v>0.73583984375</c:v>
                </c:pt>
                <c:pt idx="18">
                  <c:v>0.830810546875</c:v>
                </c:pt>
                <c:pt idx="19">
                  <c:v>0.933837890625</c:v>
                </c:pt>
                <c:pt idx="20">
                  <c:v>1.074951171875</c:v>
                </c:pt>
                <c:pt idx="21">
                  <c:v>1.173828125</c:v>
                </c:pt>
                <c:pt idx="22">
                  <c:v>1.23681640625</c:v>
                </c:pt>
                <c:pt idx="23">
                  <c:v>1.2998046875</c:v>
                </c:pt>
                <c:pt idx="24">
                  <c:v>1.351806640625</c:v>
                </c:pt>
                <c:pt idx="25">
                  <c:v>1.86</c:v>
                </c:pt>
                <c:pt idx="26">
                  <c:v>2.702</c:v>
                </c:pt>
                <c:pt idx="27">
                  <c:v>3.79</c:v>
                </c:pt>
                <c:pt idx="28">
                  <c:v>11.374000000000001</c:v>
                </c:pt>
                <c:pt idx="29">
                  <c:v>76.09</c:v>
                </c:pt>
                <c:pt idx="30">
                  <c:v>14.045999999999999</c:v>
                </c:pt>
                <c:pt idx="31">
                  <c:v>12.273999999999999</c:v>
                </c:pt>
                <c:pt idx="32">
                  <c:v>8.9770000000000003</c:v>
                </c:pt>
                <c:pt idx="33">
                  <c:v>7.0979999999999999</c:v>
                </c:pt>
                <c:pt idx="34">
                  <c:v>7.0410000000000004</c:v>
                </c:pt>
                <c:pt idx="35">
                  <c:v>7.8289999999999997</c:v>
                </c:pt>
                <c:pt idx="36">
                  <c:v>7.7850000000000001</c:v>
                </c:pt>
                <c:pt idx="37">
                  <c:v>7.2709999999999999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20285616"/>
        <c:axId val="-1620280720"/>
        <c:extLst/>
      </c:scatterChart>
      <c:valAx>
        <c:axId val="-162028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620280720"/>
        <c:crosses val="autoZero"/>
        <c:crossBetween val="midCat"/>
      </c:valAx>
      <c:valAx>
        <c:axId val="-16202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62028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74536003855133"/>
          <c:y val="0.87006020543728335"/>
          <c:w val="0.44323288465947103"/>
          <c:h val="0.11677107028288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'Tradeoff &amp; ROC'!$B$7</c:f>
              <c:strCache>
                <c:ptCount val="1"/>
                <c:pt idx="0">
                  <c:v>RNN+REG in IoT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'Tradeoff &amp; ROC'!$D$11:$D$50</c:f>
              <c:numCache>
                <c:formatCode>General</c:formatCode>
                <c:ptCount val="40"/>
                <c:pt idx="0">
                  <c:v>1</c:v>
                </c:pt>
                <c:pt idx="1">
                  <c:v>0.18833087149187591</c:v>
                </c:pt>
                <c:pt idx="2">
                  <c:v>0.11595273264401773</c:v>
                </c:pt>
                <c:pt idx="3">
                  <c:v>8.0502215657311665E-2</c:v>
                </c:pt>
                <c:pt idx="4">
                  <c:v>5.982274741506647E-2</c:v>
                </c:pt>
                <c:pt idx="5">
                  <c:v>5.5391432791728215E-2</c:v>
                </c:pt>
                <c:pt idx="6">
                  <c:v>5.0960118168389953E-2</c:v>
                </c:pt>
                <c:pt idx="7">
                  <c:v>4.8005908419497784E-2</c:v>
                </c:pt>
                <c:pt idx="8">
                  <c:v>4.5051698670605614E-2</c:v>
                </c:pt>
                <c:pt idx="9">
                  <c:v>4.5051698670605614E-2</c:v>
                </c:pt>
                <c:pt idx="10">
                  <c:v>3.9881831610044313E-2</c:v>
                </c:pt>
                <c:pt idx="11">
                  <c:v>3.0280649926144758E-2</c:v>
                </c:pt>
                <c:pt idx="12">
                  <c:v>2.2895125553914326E-2</c:v>
                </c:pt>
                <c:pt idx="13">
                  <c:v>2.1418020679468242E-2</c:v>
                </c:pt>
                <c:pt idx="14">
                  <c:v>1.9940915805022157E-2</c:v>
                </c:pt>
                <c:pt idx="15">
                  <c:v>1.6986706056129987E-2</c:v>
                </c:pt>
                <c:pt idx="16">
                  <c:v>1.3293943870014771E-2</c:v>
                </c:pt>
                <c:pt idx="17">
                  <c:v>1.03397341211226E-2</c:v>
                </c:pt>
                <c:pt idx="18">
                  <c:v>8.1240768094534704E-3</c:v>
                </c:pt>
                <c:pt idx="19">
                  <c:v>6.6469719350073855E-3</c:v>
                </c:pt>
                <c:pt idx="20">
                  <c:v>5.9084194977843431E-3</c:v>
                </c:pt>
                <c:pt idx="21">
                  <c:v>4.4313146233382573E-3</c:v>
                </c:pt>
                <c:pt idx="22">
                  <c:v>3.692762186115214E-3</c:v>
                </c:pt>
                <c:pt idx="23">
                  <c:v>2.2156573116691287E-3</c:v>
                </c:pt>
                <c:pt idx="24">
                  <c:v>1.4771048744460858E-3</c:v>
                </c:pt>
                <c:pt idx="25">
                  <c:v>7.3855243722304289E-4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xVal>
          <c:yVal>
            <c:numRef>
              <c:f>'Tradeoff &amp; ROC'!$I$11:$I$50</c:f>
              <c:numCache>
                <c:formatCode>General</c:formatCode>
                <c:ptCount val="4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0.9501953125</c:v>
                </c:pt>
                <c:pt idx="30">
                  <c:v>0.111083984375</c:v>
                </c:pt>
                <c:pt idx="31">
                  <c:v>0.9150390625</c:v>
                </c:pt>
                <c:pt idx="32">
                  <c:v>0.8701171875</c:v>
                </c:pt>
                <c:pt idx="33">
                  <c:v>0.8330078125</c:v>
                </c:pt>
                <c:pt idx="34">
                  <c:v>0.804931640625</c:v>
                </c:pt>
                <c:pt idx="35">
                  <c:v>0.7900390625</c:v>
                </c:pt>
                <c:pt idx="36">
                  <c:v>0.777587890625</c:v>
                </c:pt>
                <c:pt idx="37">
                  <c:v>0.7705078125</c:v>
                </c:pt>
                <c:pt idx="38">
                  <c:v>0.76025390625</c:v>
                </c:pt>
                <c:pt idx="3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20522928"/>
        <c:axId val="-1413808256"/>
      </c:scatterChart>
      <c:valAx>
        <c:axId val="-16205229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08256"/>
        <c:crosses val="autoZero"/>
        <c:crossBetween val="midCat"/>
      </c:valAx>
      <c:valAx>
        <c:axId val="-1413808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620522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580927384076991E-2"/>
          <c:y val="4.4176706827309238E-2"/>
          <c:w val="0.83707042869641302"/>
          <c:h val="0.53050556337888499"/>
        </c:manualLayout>
      </c:layout>
      <c:scatterChart>
        <c:scatterStyle val="lineMarker"/>
        <c:varyColors val="0"/>
        <c:ser>
          <c:idx val="1"/>
          <c:order val="0"/>
          <c:tx>
            <c:strRef>
              <c:f>'RNN+Reg'!$N$49</c:f>
              <c:strCache>
                <c:ptCount val="1"/>
                <c:pt idx="0">
                  <c:v>train and test in different dev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9525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xVal>
            <c:numRef>
              <c:f>'RNN+Reg'!$Q$54:$Q$70</c:f>
              <c:numCache>
                <c:formatCode>General</c:formatCode>
                <c:ptCount val="17"/>
                <c:pt idx="0">
                  <c:v>170.5</c:v>
                </c:pt>
                <c:pt idx="1">
                  <c:v>177.18100000000001</c:v>
                </c:pt>
                <c:pt idx="2">
                  <c:v>180.506</c:v>
                </c:pt>
                <c:pt idx="3">
                  <c:v>183.73500000000001</c:v>
                </c:pt>
                <c:pt idx="4">
                  <c:v>188.221</c:v>
                </c:pt>
                <c:pt idx="5">
                  <c:v>202.798</c:v>
                </c:pt>
                <c:pt idx="6">
                  <c:v>224.536</c:v>
                </c:pt>
                <c:pt idx="7">
                  <c:v>255.49799999999999</c:v>
                </c:pt>
                <c:pt idx="8">
                  <c:v>293.94299999999998</c:v>
                </c:pt>
                <c:pt idx="9">
                  <c:v>330.48899999999998</c:v>
                </c:pt>
                <c:pt idx="10">
                  <c:v>441.67599999999999</c:v>
                </c:pt>
                <c:pt idx="11">
                  <c:v>692.48900000000003</c:v>
                </c:pt>
                <c:pt idx="12">
                  <c:v>796.44299999999998</c:v>
                </c:pt>
                <c:pt idx="13">
                  <c:v>1097.979</c:v>
                </c:pt>
                <c:pt idx="14">
                  <c:v>1499.636</c:v>
                </c:pt>
                <c:pt idx="15">
                  <c:v>2677.4830000000002</c:v>
                </c:pt>
                <c:pt idx="16">
                  <c:v>4465.1390000000001</c:v>
                </c:pt>
              </c:numCache>
            </c:numRef>
          </c:xVal>
          <c:yVal>
            <c:numRef>
              <c:f>'RNN+Reg'!$O$54:$O$72</c:f>
              <c:numCache>
                <c:formatCode>General</c:formatCode>
                <c:ptCount val="19"/>
                <c:pt idx="0">
                  <c:v>1.9E-2</c:v>
                </c:pt>
                <c:pt idx="1">
                  <c:v>0.20899999999999999</c:v>
                </c:pt>
                <c:pt idx="2">
                  <c:v>0.32600000000000001</c:v>
                </c:pt>
                <c:pt idx="3">
                  <c:v>0.64200000000000002</c:v>
                </c:pt>
                <c:pt idx="4">
                  <c:v>1.46</c:v>
                </c:pt>
                <c:pt idx="5">
                  <c:v>2.7610000000000001</c:v>
                </c:pt>
                <c:pt idx="6">
                  <c:v>4.4870000000000001</c:v>
                </c:pt>
                <c:pt idx="7">
                  <c:v>7.3520000000000003</c:v>
                </c:pt>
                <c:pt idx="8">
                  <c:v>9.5429999999999993</c:v>
                </c:pt>
                <c:pt idx="9">
                  <c:v>14.522</c:v>
                </c:pt>
                <c:pt idx="10">
                  <c:v>20.736000000000001</c:v>
                </c:pt>
                <c:pt idx="11">
                  <c:v>27.988</c:v>
                </c:pt>
                <c:pt idx="12">
                  <c:v>30.867999999999999</c:v>
                </c:pt>
                <c:pt idx="13">
                  <c:v>32.865000000000002</c:v>
                </c:pt>
                <c:pt idx="14">
                  <c:v>33.484999999999999</c:v>
                </c:pt>
                <c:pt idx="15">
                  <c:v>34.820999999999998</c:v>
                </c:pt>
                <c:pt idx="16">
                  <c:v>35.851999999999997</c:v>
                </c:pt>
                <c:pt idx="17">
                  <c:v>36.341999999999999</c:v>
                </c:pt>
                <c:pt idx="18">
                  <c:v>37.109000000000002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'RNN+Reg'!$I$49</c:f>
              <c:strCache>
                <c:ptCount val="1"/>
                <c:pt idx="0">
                  <c:v>train and test in different attack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'RNN+Reg'!$L$54:$L$55</c:f>
              <c:numCache>
                <c:formatCode>General</c:formatCode>
                <c:ptCount val="2"/>
                <c:pt idx="0">
                  <c:v>3347.837</c:v>
                </c:pt>
                <c:pt idx="1">
                  <c:v>7461.4549999999999</c:v>
                </c:pt>
              </c:numCache>
            </c:numRef>
          </c:xVal>
          <c:yVal>
            <c:numRef>
              <c:f>'RNN+Reg'!$J$54:$J$65</c:f>
              <c:numCache>
                <c:formatCode>General</c:formatCode>
                <c:ptCount val="12"/>
                <c:pt idx="0">
                  <c:v>0.03</c:v>
                </c:pt>
                <c:pt idx="1">
                  <c:v>4.2000000000000003E-2</c:v>
                </c:pt>
                <c:pt idx="2">
                  <c:v>8.3000000000000004E-2</c:v>
                </c:pt>
                <c:pt idx="3">
                  <c:v>9.0999999999999998E-2</c:v>
                </c:pt>
                <c:pt idx="4">
                  <c:v>0.108</c:v>
                </c:pt>
                <c:pt idx="5">
                  <c:v>0.23699999999999999</c:v>
                </c:pt>
                <c:pt idx="6">
                  <c:v>0.29499999999999998</c:v>
                </c:pt>
                <c:pt idx="7">
                  <c:v>0.49</c:v>
                </c:pt>
                <c:pt idx="8">
                  <c:v>1.087</c:v>
                </c:pt>
                <c:pt idx="9">
                  <c:v>1.3380000000000001</c:v>
                </c:pt>
                <c:pt idx="10">
                  <c:v>2.1110000000000002</c:v>
                </c:pt>
                <c:pt idx="11">
                  <c:v>2.2789999999999999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'RNN+Reg'!$D$49</c:f>
              <c:strCache>
                <c:ptCount val="1"/>
                <c:pt idx="0">
                  <c:v>train and eval in all dev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'RNN+Reg'!$G$54:$G$66</c:f>
              <c:numCache>
                <c:formatCode>General</c:formatCode>
                <c:ptCount val="13"/>
                <c:pt idx="0">
                  <c:v>749.39400000000001</c:v>
                </c:pt>
                <c:pt idx="1">
                  <c:v>1320.5160000000001</c:v>
                </c:pt>
                <c:pt idx="2">
                  <c:v>1905.7670000000001</c:v>
                </c:pt>
                <c:pt idx="3">
                  <c:v>2522.7689999999998</c:v>
                </c:pt>
                <c:pt idx="4">
                  <c:v>2928.857</c:v>
                </c:pt>
                <c:pt idx="5">
                  <c:v>3280.8</c:v>
                </c:pt>
                <c:pt idx="6">
                  <c:v>3815.5349999999999</c:v>
                </c:pt>
                <c:pt idx="7">
                  <c:v>4434.9189999999999</c:v>
                </c:pt>
                <c:pt idx="8">
                  <c:v>4688.5709999999999</c:v>
                </c:pt>
                <c:pt idx="9">
                  <c:v>4972.97</c:v>
                </c:pt>
                <c:pt idx="10">
                  <c:v>5470.6670000000004</c:v>
                </c:pt>
                <c:pt idx="11">
                  <c:v>6078.9629999999997</c:v>
                </c:pt>
                <c:pt idx="12">
                  <c:v>6312.9229999999998</c:v>
                </c:pt>
              </c:numCache>
            </c:numRef>
          </c:xVal>
          <c:yVal>
            <c:numRef>
              <c:f>'RNN+Reg'!$E$54:$E$77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8.9999999999999993E-3</c:v>
                </c:pt>
                <c:pt idx="8">
                  <c:v>1.2E-2</c:v>
                </c:pt>
                <c:pt idx="9">
                  <c:v>2.1000000000000001E-2</c:v>
                </c:pt>
                <c:pt idx="10">
                  <c:v>3.5000000000000003E-2</c:v>
                </c:pt>
                <c:pt idx="11">
                  <c:v>4.5999999999999999E-2</c:v>
                </c:pt>
                <c:pt idx="12">
                  <c:v>5.7000000000000002E-2</c:v>
                </c:pt>
                <c:pt idx="13">
                  <c:v>0.157</c:v>
                </c:pt>
                <c:pt idx="14">
                  <c:v>0.22800000000000001</c:v>
                </c:pt>
                <c:pt idx="15">
                  <c:v>0.29399999999999998</c:v>
                </c:pt>
                <c:pt idx="16">
                  <c:v>0.33400000000000002</c:v>
                </c:pt>
                <c:pt idx="17">
                  <c:v>0.41699999999999998</c:v>
                </c:pt>
                <c:pt idx="18">
                  <c:v>0.47799999999999998</c:v>
                </c:pt>
                <c:pt idx="19">
                  <c:v>0.62</c:v>
                </c:pt>
                <c:pt idx="20">
                  <c:v>0.96099999999999997</c:v>
                </c:pt>
                <c:pt idx="21">
                  <c:v>1.9350000000000001</c:v>
                </c:pt>
                <c:pt idx="22">
                  <c:v>2.6040000000000001</c:v>
                </c:pt>
                <c:pt idx="23">
                  <c:v>17.79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3807168"/>
        <c:axId val="-1413813696"/>
      </c:scatterChart>
      <c:valAx>
        <c:axId val="-141380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3696"/>
        <c:crosses val="autoZero"/>
        <c:crossBetween val="midCat"/>
      </c:valAx>
      <c:valAx>
        <c:axId val="-14138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0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0207049327747665E-2"/>
          <c:y val="0.71806977528312754"/>
          <c:w val="0.88484840509142482"/>
          <c:h val="0.24162795771435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886482939632541E-2"/>
          <c:y val="4.1548630783758263E-2"/>
          <c:w val="0.84709820647419098"/>
          <c:h val="0.61715823850858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'RNN+Reg'!$D$49</c:f>
              <c:strCache>
                <c:ptCount val="1"/>
                <c:pt idx="0">
                  <c:v>train and eval in all dev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38100">
                <a:solidFill>
                  <a:srgbClr val="C00000"/>
                </a:solidFill>
              </a:ln>
              <a:effectLst/>
            </c:spPr>
          </c:marker>
          <c:xVal>
            <c:numRef>
              <c:f>'RNN+Reg'!$G$54:$G$70</c:f>
              <c:numCache>
                <c:formatCode>General</c:formatCode>
                <c:ptCount val="17"/>
                <c:pt idx="0">
                  <c:v>749.39400000000001</c:v>
                </c:pt>
                <c:pt idx="1">
                  <c:v>1320.5160000000001</c:v>
                </c:pt>
                <c:pt idx="2">
                  <c:v>1905.7670000000001</c:v>
                </c:pt>
                <c:pt idx="3">
                  <c:v>2522.7689999999998</c:v>
                </c:pt>
                <c:pt idx="4">
                  <c:v>2928.857</c:v>
                </c:pt>
                <c:pt idx="5">
                  <c:v>3280.8</c:v>
                </c:pt>
                <c:pt idx="6">
                  <c:v>3815.5349999999999</c:v>
                </c:pt>
                <c:pt idx="7">
                  <c:v>4434.9189999999999</c:v>
                </c:pt>
                <c:pt idx="8">
                  <c:v>4688.5709999999999</c:v>
                </c:pt>
                <c:pt idx="9">
                  <c:v>4972.97</c:v>
                </c:pt>
                <c:pt idx="10">
                  <c:v>5470.6670000000004</c:v>
                </c:pt>
                <c:pt idx="11">
                  <c:v>6078.9629999999997</c:v>
                </c:pt>
                <c:pt idx="12">
                  <c:v>6312.9229999999998</c:v>
                </c:pt>
                <c:pt idx="13">
                  <c:v>7816.9520000000002</c:v>
                </c:pt>
                <c:pt idx="14">
                  <c:v>9120.4439999999995</c:v>
                </c:pt>
                <c:pt idx="15">
                  <c:v>10889.066666666668</c:v>
                </c:pt>
                <c:pt idx="16">
                  <c:v>16420</c:v>
                </c:pt>
              </c:numCache>
            </c:numRef>
          </c:xVal>
          <c:yVal>
            <c:numRef>
              <c:f>'RNN+Reg'!$E$54:$E$77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8.9999999999999993E-3</c:v>
                </c:pt>
                <c:pt idx="8">
                  <c:v>1.2E-2</c:v>
                </c:pt>
                <c:pt idx="9">
                  <c:v>2.1000000000000001E-2</c:v>
                </c:pt>
                <c:pt idx="10">
                  <c:v>3.5000000000000003E-2</c:v>
                </c:pt>
                <c:pt idx="11">
                  <c:v>4.5999999999999999E-2</c:v>
                </c:pt>
                <c:pt idx="12">
                  <c:v>5.7000000000000002E-2</c:v>
                </c:pt>
                <c:pt idx="13">
                  <c:v>0.157</c:v>
                </c:pt>
                <c:pt idx="14">
                  <c:v>0.22800000000000001</c:v>
                </c:pt>
                <c:pt idx="15">
                  <c:v>0.29399999999999998</c:v>
                </c:pt>
                <c:pt idx="16">
                  <c:v>0.33400000000000002</c:v>
                </c:pt>
                <c:pt idx="17">
                  <c:v>0.41699999999999998</c:v>
                </c:pt>
                <c:pt idx="18">
                  <c:v>0.47799999999999998</c:v>
                </c:pt>
                <c:pt idx="19">
                  <c:v>0.62</c:v>
                </c:pt>
                <c:pt idx="20">
                  <c:v>0.96099999999999997</c:v>
                </c:pt>
                <c:pt idx="21">
                  <c:v>1.9350000000000001</c:v>
                </c:pt>
                <c:pt idx="22">
                  <c:v>2.6040000000000001</c:v>
                </c:pt>
                <c:pt idx="23">
                  <c:v>17.79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3810432"/>
        <c:axId val="-1413811520"/>
        <c:extLst/>
      </c:scatterChart>
      <c:valAx>
        <c:axId val="-141381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1520"/>
        <c:crosses val="autoZero"/>
        <c:crossBetween val="midCat"/>
      </c:valAx>
      <c:valAx>
        <c:axId val="-14138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236332160607582"/>
          <c:y val="0.76060821009271862"/>
          <c:w val="0.72943336870125275"/>
          <c:h val="0.237990081268170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886482939632541E-2"/>
          <c:y val="4.1548630783758263E-2"/>
          <c:w val="0.84709820647419098"/>
          <c:h val="0.61715823850858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'RNN+Reg'!$D$49</c:f>
              <c:strCache>
                <c:ptCount val="1"/>
                <c:pt idx="0">
                  <c:v>train and eval in all dev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'RNN+Reg'!$G$54:$G$76</c:f>
              <c:numCache>
                <c:formatCode>General</c:formatCode>
                <c:ptCount val="23"/>
                <c:pt idx="0">
                  <c:v>749.39400000000001</c:v>
                </c:pt>
                <c:pt idx="1">
                  <c:v>1320.5160000000001</c:v>
                </c:pt>
                <c:pt idx="2">
                  <c:v>1905.7670000000001</c:v>
                </c:pt>
                <c:pt idx="3">
                  <c:v>2522.7689999999998</c:v>
                </c:pt>
                <c:pt idx="4">
                  <c:v>2928.857</c:v>
                </c:pt>
                <c:pt idx="5">
                  <c:v>3280.8</c:v>
                </c:pt>
                <c:pt idx="6">
                  <c:v>3815.5349999999999</c:v>
                </c:pt>
                <c:pt idx="7">
                  <c:v>4434.9189999999999</c:v>
                </c:pt>
                <c:pt idx="8">
                  <c:v>4688.5709999999999</c:v>
                </c:pt>
                <c:pt idx="9">
                  <c:v>4972.97</c:v>
                </c:pt>
                <c:pt idx="10">
                  <c:v>5470.6670000000004</c:v>
                </c:pt>
                <c:pt idx="11">
                  <c:v>6078.9629999999997</c:v>
                </c:pt>
                <c:pt idx="12">
                  <c:v>6312.9229999999998</c:v>
                </c:pt>
                <c:pt idx="13">
                  <c:v>7816.9520000000002</c:v>
                </c:pt>
                <c:pt idx="14">
                  <c:v>9120.4439999999995</c:v>
                </c:pt>
                <c:pt idx="15">
                  <c:v>10889.066666666668</c:v>
                </c:pt>
                <c:pt idx="16">
                  <c:v>16420</c:v>
                </c:pt>
                <c:pt idx="17">
                  <c:v>23458.857</c:v>
                </c:pt>
                <c:pt idx="18">
                  <c:v>32844</c:v>
                </c:pt>
                <c:pt idx="19">
                  <c:v>41056</c:v>
                </c:pt>
                <c:pt idx="20">
                  <c:v>54742.667000000001</c:v>
                </c:pt>
                <c:pt idx="21">
                  <c:v>82116</c:v>
                </c:pt>
                <c:pt idx="22">
                  <c:v>164236</c:v>
                </c:pt>
              </c:numCache>
            </c:numRef>
          </c:xVal>
          <c:yVal>
            <c:numRef>
              <c:f>'RNN+Reg'!$E$54:$E$77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8.9999999999999993E-3</c:v>
                </c:pt>
                <c:pt idx="8">
                  <c:v>1.2E-2</c:v>
                </c:pt>
                <c:pt idx="9">
                  <c:v>2.1000000000000001E-2</c:v>
                </c:pt>
                <c:pt idx="10">
                  <c:v>3.5000000000000003E-2</c:v>
                </c:pt>
                <c:pt idx="11">
                  <c:v>4.5999999999999999E-2</c:v>
                </c:pt>
                <c:pt idx="12">
                  <c:v>5.7000000000000002E-2</c:v>
                </c:pt>
                <c:pt idx="13">
                  <c:v>0.157</c:v>
                </c:pt>
                <c:pt idx="14">
                  <c:v>0.22800000000000001</c:v>
                </c:pt>
                <c:pt idx="15">
                  <c:v>0.29399999999999998</c:v>
                </c:pt>
                <c:pt idx="16">
                  <c:v>0.33400000000000002</c:v>
                </c:pt>
                <c:pt idx="17">
                  <c:v>0.41699999999999998</c:v>
                </c:pt>
                <c:pt idx="18">
                  <c:v>0.47799999999999998</c:v>
                </c:pt>
                <c:pt idx="19">
                  <c:v>0.62</c:v>
                </c:pt>
                <c:pt idx="20">
                  <c:v>0.96099999999999997</c:v>
                </c:pt>
                <c:pt idx="21">
                  <c:v>1.9350000000000001</c:v>
                </c:pt>
                <c:pt idx="22">
                  <c:v>2.6040000000000001</c:v>
                </c:pt>
                <c:pt idx="23">
                  <c:v>17.79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'RNN+Reg'!$I$49</c:f>
              <c:strCache>
                <c:ptCount val="1"/>
                <c:pt idx="0">
                  <c:v>train and test in different attack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'RNN+Reg'!$L$54:$L$64</c:f>
              <c:numCache>
                <c:formatCode>General</c:formatCode>
                <c:ptCount val="11"/>
                <c:pt idx="0">
                  <c:v>3347.837</c:v>
                </c:pt>
                <c:pt idx="1">
                  <c:v>7461.4549999999999</c:v>
                </c:pt>
                <c:pt idx="2">
                  <c:v>9120.4439999999995</c:v>
                </c:pt>
                <c:pt idx="3">
                  <c:v>12629.846</c:v>
                </c:pt>
                <c:pt idx="4">
                  <c:v>13682.666999999999</c:v>
                </c:pt>
                <c:pt idx="5">
                  <c:v>23458.857</c:v>
                </c:pt>
                <c:pt idx="6">
                  <c:v>27369.332999999999</c:v>
                </c:pt>
                <c:pt idx="7">
                  <c:v>32844</c:v>
                </c:pt>
                <c:pt idx="8">
                  <c:v>54742.667000000001</c:v>
                </c:pt>
                <c:pt idx="9">
                  <c:v>82116</c:v>
                </c:pt>
                <c:pt idx="10">
                  <c:v>164236</c:v>
                </c:pt>
              </c:numCache>
            </c:numRef>
          </c:xVal>
          <c:yVal>
            <c:numRef>
              <c:f>'RNN+Reg'!$J$54:$J$65</c:f>
              <c:numCache>
                <c:formatCode>General</c:formatCode>
                <c:ptCount val="12"/>
                <c:pt idx="0">
                  <c:v>0.03</c:v>
                </c:pt>
                <c:pt idx="1">
                  <c:v>4.2000000000000003E-2</c:v>
                </c:pt>
                <c:pt idx="2">
                  <c:v>8.3000000000000004E-2</c:v>
                </c:pt>
                <c:pt idx="3">
                  <c:v>9.0999999999999998E-2</c:v>
                </c:pt>
                <c:pt idx="4">
                  <c:v>0.108</c:v>
                </c:pt>
                <c:pt idx="5">
                  <c:v>0.23699999999999999</c:v>
                </c:pt>
                <c:pt idx="6">
                  <c:v>0.29499999999999998</c:v>
                </c:pt>
                <c:pt idx="7">
                  <c:v>0.49</c:v>
                </c:pt>
                <c:pt idx="8">
                  <c:v>1.087</c:v>
                </c:pt>
                <c:pt idx="9">
                  <c:v>1.3380000000000001</c:v>
                </c:pt>
                <c:pt idx="10">
                  <c:v>2.1110000000000002</c:v>
                </c:pt>
                <c:pt idx="11">
                  <c:v>2.2789999999999999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3807712"/>
        <c:axId val="-1413818592"/>
        <c:extLst/>
      </c:scatterChart>
      <c:valAx>
        <c:axId val="-141380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8592"/>
        <c:crosses val="autoZero"/>
        <c:crossBetween val="midCat"/>
      </c:valAx>
      <c:valAx>
        <c:axId val="-141381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07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7788144129042677E-2"/>
          <c:y val="0.81471453907399716"/>
          <c:w val="0.89174764919090999"/>
          <c:h val="0.18528546092600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886482939632541E-2"/>
          <c:y val="4.1548630783758263E-2"/>
          <c:w val="0.84709820647419098"/>
          <c:h val="0.61715823850858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'RNN+Reg'!$D$49</c:f>
              <c:strCache>
                <c:ptCount val="1"/>
                <c:pt idx="0">
                  <c:v>train and eval in all dev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'RNN+Reg'!$G$54:$G$71</c:f>
              <c:numCache>
                <c:formatCode>General</c:formatCode>
                <c:ptCount val="18"/>
                <c:pt idx="0">
                  <c:v>749.39400000000001</c:v>
                </c:pt>
                <c:pt idx="1">
                  <c:v>1320.5160000000001</c:v>
                </c:pt>
                <c:pt idx="2">
                  <c:v>1905.7670000000001</c:v>
                </c:pt>
                <c:pt idx="3">
                  <c:v>2522.7689999999998</c:v>
                </c:pt>
                <c:pt idx="4">
                  <c:v>2928.857</c:v>
                </c:pt>
                <c:pt idx="5">
                  <c:v>3280.8</c:v>
                </c:pt>
                <c:pt idx="6">
                  <c:v>3815.5349999999999</c:v>
                </c:pt>
                <c:pt idx="7">
                  <c:v>4434.9189999999999</c:v>
                </c:pt>
                <c:pt idx="8">
                  <c:v>4688.5709999999999</c:v>
                </c:pt>
                <c:pt idx="9">
                  <c:v>4972.97</c:v>
                </c:pt>
                <c:pt idx="10">
                  <c:v>5470.6670000000004</c:v>
                </c:pt>
                <c:pt idx="11">
                  <c:v>6078.9629999999997</c:v>
                </c:pt>
                <c:pt idx="12">
                  <c:v>6312.9229999999998</c:v>
                </c:pt>
                <c:pt idx="13">
                  <c:v>7816.9520000000002</c:v>
                </c:pt>
                <c:pt idx="14">
                  <c:v>9120.4439999999995</c:v>
                </c:pt>
                <c:pt idx="15">
                  <c:v>10889.066666666668</c:v>
                </c:pt>
                <c:pt idx="16">
                  <c:v>16420</c:v>
                </c:pt>
                <c:pt idx="17">
                  <c:v>23458.857</c:v>
                </c:pt>
              </c:numCache>
            </c:numRef>
          </c:xVal>
          <c:yVal>
            <c:numRef>
              <c:f>'RNN+Reg'!$E$54:$E$77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8.9999999999999993E-3</c:v>
                </c:pt>
                <c:pt idx="8">
                  <c:v>1.2E-2</c:v>
                </c:pt>
                <c:pt idx="9">
                  <c:v>2.1000000000000001E-2</c:v>
                </c:pt>
                <c:pt idx="10">
                  <c:v>3.5000000000000003E-2</c:v>
                </c:pt>
                <c:pt idx="11">
                  <c:v>4.5999999999999999E-2</c:v>
                </c:pt>
                <c:pt idx="12">
                  <c:v>5.7000000000000002E-2</c:v>
                </c:pt>
                <c:pt idx="13">
                  <c:v>0.157</c:v>
                </c:pt>
                <c:pt idx="14">
                  <c:v>0.22800000000000001</c:v>
                </c:pt>
                <c:pt idx="15">
                  <c:v>0.29399999999999998</c:v>
                </c:pt>
                <c:pt idx="16">
                  <c:v>0.33400000000000002</c:v>
                </c:pt>
                <c:pt idx="17">
                  <c:v>0.41699999999999998</c:v>
                </c:pt>
                <c:pt idx="18">
                  <c:v>0.47799999999999998</c:v>
                </c:pt>
                <c:pt idx="19">
                  <c:v>0.62</c:v>
                </c:pt>
                <c:pt idx="20">
                  <c:v>0.96099999999999997</c:v>
                </c:pt>
                <c:pt idx="21">
                  <c:v>1.9350000000000001</c:v>
                </c:pt>
                <c:pt idx="22">
                  <c:v>2.6040000000000001</c:v>
                </c:pt>
                <c:pt idx="23">
                  <c:v>17.79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'RNN+Reg'!$S$49</c:f>
              <c:strCache>
                <c:ptCount val="1"/>
                <c:pt idx="0">
                  <c:v>train and eval in junk (spam attack)</c:v>
                </c:pt>
              </c:strCache>
            </c:strRef>
          </c:tx>
          <c:spPr>
            <a:ln w="19050" cap="rnd">
              <a:solidFill>
                <a:srgbClr val="F7964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79646"/>
              </a:solidFill>
              <a:ln w="9525">
                <a:solidFill>
                  <a:srgbClr val="F79646"/>
                </a:solidFill>
              </a:ln>
              <a:effectLst/>
            </c:spPr>
          </c:marker>
          <c:xVal>
            <c:numRef>
              <c:f>'RNN+Reg'!$V$54:$V$69</c:f>
              <c:numCache>
                <c:formatCode>General</c:formatCode>
                <c:ptCount val="16"/>
                <c:pt idx="0">
                  <c:v>725.95600000000002</c:v>
                </c:pt>
                <c:pt idx="1">
                  <c:v>2185.8670000000002</c:v>
                </c:pt>
                <c:pt idx="2">
                  <c:v>2779.7289999999998</c:v>
                </c:pt>
                <c:pt idx="3">
                  <c:v>3094.8679999999999</c:v>
                </c:pt>
                <c:pt idx="4">
                  <c:v>3728.7269999999999</c:v>
                </c:pt>
                <c:pt idx="5">
                  <c:v>3906.4760000000001</c:v>
                </c:pt>
                <c:pt idx="6">
                  <c:v>4434.9189999999999</c:v>
                </c:pt>
                <c:pt idx="7">
                  <c:v>4972.97</c:v>
                </c:pt>
                <c:pt idx="8">
                  <c:v>5659.4480000000003</c:v>
                </c:pt>
                <c:pt idx="9">
                  <c:v>7136.87</c:v>
                </c:pt>
                <c:pt idx="10">
                  <c:v>10261</c:v>
                </c:pt>
                <c:pt idx="11">
                  <c:v>13682.666999999999</c:v>
                </c:pt>
                <c:pt idx="12">
                  <c:v>14926.909</c:v>
                </c:pt>
                <c:pt idx="13">
                  <c:v>18244.888999999999</c:v>
                </c:pt>
                <c:pt idx="14">
                  <c:v>23458.857</c:v>
                </c:pt>
                <c:pt idx="15">
                  <c:v>27369.332999999999</c:v>
                </c:pt>
              </c:numCache>
            </c:numRef>
          </c:xVal>
          <c:yVal>
            <c:numRef>
              <c:f>'RNN+Reg'!$T$54:$T$71</c:f>
              <c:numCache>
                <c:formatCode>General</c:formatCode>
                <c:ptCount val="18"/>
                <c:pt idx="0">
                  <c:v>0</c:v>
                </c:pt>
                <c:pt idx="1">
                  <c:v>1E-3</c:v>
                </c:pt>
                <c:pt idx="2">
                  <c:v>1E-3</c:v>
                </c:pt>
                <c:pt idx="3">
                  <c:v>2E-3</c:v>
                </c:pt>
                <c:pt idx="4">
                  <c:v>1.4999999999999999E-2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6.2E-2</c:v>
                </c:pt>
                <c:pt idx="9">
                  <c:v>7.8E-2</c:v>
                </c:pt>
                <c:pt idx="10">
                  <c:v>0.152</c:v>
                </c:pt>
                <c:pt idx="11">
                  <c:v>0.245</c:v>
                </c:pt>
                <c:pt idx="12">
                  <c:v>0.39400000000000002</c:v>
                </c:pt>
                <c:pt idx="13">
                  <c:v>0.92700000000000005</c:v>
                </c:pt>
                <c:pt idx="14">
                  <c:v>1.157</c:v>
                </c:pt>
                <c:pt idx="15">
                  <c:v>1.3109999999999999</c:v>
                </c:pt>
                <c:pt idx="16">
                  <c:v>1.8260000000000001</c:v>
                </c:pt>
                <c:pt idx="17">
                  <c:v>2.048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3820224"/>
        <c:axId val="-1413819680"/>
        <c:extLst/>
      </c:scatterChart>
      <c:valAx>
        <c:axId val="-141382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9680"/>
        <c:crosses val="autoZero"/>
        <c:crossBetween val="midCat"/>
      </c:valAx>
      <c:valAx>
        <c:axId val="-14138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2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5529542412453712E-2"/>
          <c:y val="0.80698506812280968"/>
          <c:w val="0.96240416499831871"/>
          <c:h val="0.19301493187719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886482939632541E-2"/>
          <c:y val="4.1548630783758263E-2"/>
          <c:w val="0.84709820647419098"/>
          <c:h val="0.61715823850858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'RNN+Reg'!$D$49</c:f>
              <c:strCache>
                <c:ptCount val="1"/>
                <c:pt idx="0">
                  <c:v>train and eval in all dev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'RNN+Reg'!$G$54:$G$70</c:f>
              <c:numCache>
                <c:formatCode>General</c:formatCode>
                <c:ptCount val="17"/>
                <c:pt idx="0">
                  <c:v>749.39400000000001</c:v>
                </c:pt>
                <c:pt idx="1">
                  <c:v>1320.5160000000001</c:v>
                </c:pt>
                <c:pt idx="2">
                  <c:v>1905.7670000000001</c:v>
                </c:pt>
                <c:pt idx="3">
                  <c:v>2522.7689999999998</c:v>
                </c:pt>
                <c:pt idx="4">
                  <c:v>2928.857</c:v>
                </c:pt>
                <c:pt idx="5">
                  <c:v>3280.8</c:v>
                </c:pt>
                <c:pt idx="6">
                  <c:v>3815.5349999999999</c:v>
                </c:pt>
                <c:pt idx="7">
                  <c:v>4434.9189999999999</c:v>
                </c:pt>
                <c:pt idx="8">
                  <c:v>4688.5709999999999</c:v>
                </c:pt>
                <c:pt idx="9">
                  <c:v>4972.97</c:v>
                </c:pt>
                <c:pt idx="10">
                  <c:v>5470.6670000000004</c:v>
                </c:pt>
                <c:pt idx="11">
                  <c:v>6078.9629999999997</c:v>
                </c:pt>
                <c:pt idx="12">
                  <c:v>6312.9229999999998</c:v>
                </c:pt>
                <c:pt idx="13">
                  <c:v>7816.9520000000002</c:v>
                </c:pt>
                <c:pt idx="14">
                  <c:v>9120.4439999999995</c:v>
                </c:pt>
                <c:pt idx="15">
                  <c:v>10889.066666666668</c:v>
                </c:pt>
                <c:pt idx="16">
                  <c:v>16420</c:v>
                </c:pt>
              </c:numCache>
            </c:numRef>
          </c:xVal>
          <c:yVal>
            <c:numRef>
              <c:f>'RNN+Reg'!$E$54:$E$77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3.0000000000000001E-3</c:v>
                </c:pt>
                <c:pt idx="6">
                  <c:v>5.0000000000000001E-3</c:v>
                </c:pt>
                <c:pt idx="7">
                  <c:v>8.9999999999999993E-3</c:v>
                </c:pt>
                <c:pt idx="8">
                  <c:v>1.2E-2</c:v>
                </c:pt>
                <c:pt idx="9">
                  <c:v>2.1000000000000001E-2</c:v>
                </c:pt>
                <c:pt idx="10">
                  <c:v>3.5000000000000003E-2</c:v>
                </c:pt>
                <c:pt idx="11">
                  <c:v>4.5999999999999999E-2</c:v>
                </c:pt>
                <c:pt idx="12">
                  <c:v>5.7000000000000002E-2</c:v>
                </c:pt>
                <c:pt idx="13">
                  <c:v>0.157</c:v>
                </c:pt>
                <c:pt idx="14">
                  <c:v>0.22800000000000001</c:v>
                </c:pt>
                <c:pt idx="15">
                  <c:v>0.29399999999999998</c:v>
                </c:pt>
                <c:pt idx="16">
                  <c:v>0.33400000000000002</c:v>
                </c:pt>
                <c:pt idx="17">
                  <c:v>0.41699999999999998</c:v>
                </c:pt>
                <c:pt idx="18">
                  <c:v>0.47799999999999998</c:v>
                </c:pt>
                <c:pt idx="19">
                  <c:v>0.62</c:v>
                </c:pt>
                <c:pt idx="20">
                  <c:v>0.96099999999999997</c:v>
                </c:pt>
                <c:pt idx="21">
                  <c:v>1.9350000000000001</c:v>
                </c:pt>
                <c:pt idx="22">
                  <c:v>2.6040000000000001</c:v>
                </c:pt>
                <c:pt idx="23">
                  <c:v>17.79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'RNN+Reg'!$D$103</c:f>
              <c:strCache>
                <c:ptCount val="1"/>
                <c:pt idx="0">
                  <c:v>train and eval in all dev (01 label)</c:v>
                </c:pt>
              </c:strCache>
            </c:strRef>
          </c:tx>
          <c:spPr>
            <a:ln w="19050" cap="rnd">
              <a:solidFill>
                <a:srgbClr val="4BACC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4BACC6"/>
              </a:solidFill>
              <a:ln w="9525">
                <a:solidFill>
                  <a:srgbClr val="4BACC6"/>
                </a:solidFill>
              </a:ln>
              <a:effectLst/>
            </c:spPr>
          </c:marker>
          <c:xVal>
            <c:numRef>
              <c:f>'RNN+Reg'!$G$108:$G$123</c:f>
              <c:numCache>
                <c:formatCode>General</c:formatCode>
                <c:ptCount val="16"/>
                <c:pt idx="0">
                  <c:v>288.24200000000002</c:v>
                </c:pt>
                <c:pt idx="1">
                  <c:v>838.25599999999997</c:v>
                </c:pt>
                <c:pt idx="2">
                  <c:v>1062.4939999999999</c:v>
                </c:pt>
                <c:pt idx="3">
                  <c:v>1230.8869999999999</c:v>
                </c:pt>
                <c:pt idx="4">
                  <c:v>1545.434</c:v>
                </c:pt>
                <c:pt idx="5">
                  <c:v>1743.2339999999999</c:v>
                </c:pt>
                <c:pt idx="6">
                  <c:v>1951.2380000000001</c:v>
                </c:pt>
                <c:pt idx="7">
                  <c:v>2411.2939999999999</c:v>
                </c:pt>
                <c:pt idx="8">
                  <c:v>3154.462</c:v>
                </c:pt>
                <c:pt idx="9">
                  <c:v>3906.4760000000001</c:v>
                </c:pt>
                <c:pt idx="10">
                  <c:v>4972.97</c:v>
                </c:pt>
                <c:pt idx="11">
                  <c:v>5861.7139999999999</c:v>
                </c:pt>
                <c:pt idx="12">
                  <c:v>7816.9520000000002</c:v>
                </c:pt>
                <c:pt idx="13">
                  <c:v>10261</c:v>
                </c:pt>
                <c:pt idx="14">
                  <c:v>10945.333000000001</c:v>
                </c:pt>
                <c:pt idx="15">
                  <c:v>13682.666999999999</c:v>
                </c:pt>
              </c:numCache>
            </c:numRef>
          </c:xVal>
          <c:yVal>
            <c:numRef>
              <c:f>'RNN+Reg'!$E$108:$E$126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5.0000000000000001E-3</c:v>
                </c:pt>
                <c:pt idx="6">
                  <c:v>7.0000000000000001E-3</c:v>
                </c:pt>
                <c:pt idx="7">
                  <c:v>1.6E-2</c:v>
                </c:pt>
                <c:pt idx="8">
                  <c:v>0.03</c:v>
                </c:pt>
                <c:pt idx="9">
                  <c:v>5.3999999999999999E-2</c:v>
                </c:pt>
                <c:pt idx="10">
                  <c:v>0.156</c:v>
                </c:pt>
                <c:pt idx="11">
                  <c:v>0.24399999999999999</c:v>
                </c:pt>
                <c:pt idx="12">
                  <c:v>0.45800000000000002</c:v>
                </c:pt>
                <c:pt idx="13">
                  <c:v>0.95399999999999996</c:v>
                </c:pt>
                <c:pt idx="14">
                  <c:v>0.996</c:v>
                </c:pt>
                <c:pt idx="15">
                  <c:v>1.0289999999999999</c:v>
                </c:pt>
                <c:pt idx="16">
                  <c:v>1.3740000000000001</c:v>
                </c:pt>
                <c:pt idx="17">
                  <c:v>2.1190000000000002</c:v>
                </c:pt>
                <c:pt idx="18">
                  <c:v>5.9669999999999996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3806624"/>
        <c:axId val="-1413817504"/>
        <c:extLst/>
      </c:scatterChart>
      <c:valAx>
        <c:axId val="-141380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7504"/>
        <c:crosses val="autoZero"/>
        <c:crossBetween val="midCat"/>
      </c:valAx>
      <c:valAx>
        <c:axId val="-14138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06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9171374764595075E-3"/>
          <c:y val="0.79539086169602846"/>
          <c:w val="0.98368225158295886"/>
          <c:h val="0.20460913830397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886482939632541E-2"/>
          <c:y val="4.1548630783758263E-2"/>
          <c:w val="0.84709820647419098"/>
          <c:h val="0.617158238508581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'RNN+Reg'!$I$103</c:f>
              <c:strCache>
                <c:ptCount val="1"/>
                <c:pt idx="0">
                  <c:v>RNN+Reg in 10D normal, mu:0-&gt;1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'RNN+Reg'!$L$108:$L$135</c:f>
              <c:numCache>
                <c:formatCode>General</c:formatCode>
                <c:ptCount val="28"/>
                <c:pt idx="0">
                  <c:v>22.565999999999999</c:v>
                </c:pt>
                <c:pt idx="1">
                  <c:v>65.900999999999996</c:v>
                </c:pt>
                <c:pt idx="2">
                  <c:v>116.587</c:v>
                </c:pt>
                <c:pt idx="3">
                  <c:v>163.262</c:v>
                </c:pt>
                <c:pt idx="4">
                  <c:v>212.911</c:v>
                </c:pt>
                <c:pt idx="5">
                  <c:v>262.46499999999997</c:v>
                </c:pt>
                <c:pt idx="6">
                  <c:v>319.21600000000001</c:v>
                </c:pt>
                <c:pt idx="7">
                  <c:v>383.59199999999998</c:v>
                </c:pt>
                <c:pt idx="8">
                  <c:v>455.197</c:v>
                </c:pt>
                <c:pt idx="9">
                  <c:v>526.74099999999999</c:v>
                </c:pt>
                <c:pt idx="10">
                  <c:v>667.34</c:v>
                </c:pt>
                <c:pt idx="11">
                  <c:v>840.15899999999999</c:v>
                </c:pt>
                <c:pt idx="12">
                  <c:v>1025.5820000000001</c:v>
                </c:pt>
                <c:pt idx="13">
                  <c:v>1222.0419999999999</c:v>
                </c:pt>
                <c:pt idx="14">
                  <c:v>1425.1010000000001</c:v>
                </c:pt>
                <c:pt idx="15">
                  <c:v>1974.9159999999999</c:v>
                </c:pt>
                <c:pt idx="16">
                  <c:v>2561.2440000000001</c:v>
                </c:pt>
                <c:pt idx="17">
                  <c:v>3308.5880000000002</c:v>
                </c:pt>
                <c:pt idx="18">
                  <c:v>4494.7430000000004</c:v>
                </c:pt>
                <c:pt idx="19">
                  <c:v>6070.2340000000004</c:v>
                </c:pt>
                <c:pt idx="20">
                  <c:v>7676.5450000000001</c:v>
                </c:pt>
                <c:pt idx="21">
                  <c:v>9660.8580000000002</c:v>
                </c:pt>
                <c:pt idx="22">
                  <c:v>12407.127</c:v>
                </c:pt>
                <c:pt idx="23">
                  <c:v>16201.297</c:v>
                </c:pt>
                <c:pt idx="24">
                  <c:v>21614.983</c:v>
                </c:pt>
                <c:pt idx="25">
                  <c:v>30041.208999999999</c:v>
                </c:pt>
                <c:pt idx="26">
                  <c:v>46292.892999999996</c:v>
                </c:pt>
                <c:pt idx="27">
                  <c:v>68427.763000000006</c:v>
                </c:pt>
              </c:numCache>
            </c:numRef>
          </c:xVal>
          <c:yVal>
            <c:numRef>
              <c:f>'RNN+Reg'!$J$108:$J$138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0.377</c:v>
                </c:pt>
                <c:pt idx="3">
                  <c:v>0.377</c:v>
                </c:pt>
                <c:pt idx="4">
                  <c:v>0.39500000000000002</c:v>
                </c:pt>
                <c:pt idx="5">
                  <c:v>0.443</c:v>
                </c:pt>
                <c:pt idx="6">
                  <c:v>0.46700000000000003</c:v>
                </c:pt>
                <c:pt idx="7">
                  <c:v>0.47399999999999998</c:v>
                </c:pt>
                <c:pt idx="8">
                  <c:v>0.5</c:v>
                </c:pt>
                <c:pt idx="9">
                  <c:v>0.54</c:v>
                </c:pt>
                <c:pt idx="10">
                  <c:v>0.60199999999999998</c:v>
                </c:pt>
                <c:pt idx="11">
                  <c:v>0.65300000000000002</c:v>
                </c:pt>
                <c:pt idx="12">
                  <c:v>0.69199999999999995</c:v>
                </c:pt>
                <c:pt idx="13">
                  <c:v>0.72199999999999998</c:v>
                </c:pt>
                <c:pt idx="14">
                  <c:v>0.75600000000000001</c:v>
                </c:pt>
                <c:pt idx="15">
                  <c:v>0.82499999999999996</c:v>
                </c:pt>
                <c:pt idx="16">
                  <c:v>0.89400000000000002</c:v>
                </c:pt>
                <c:pt idx="17">
                  <c:v>0.95399999999999996</c:v>
                </c:pt>
                <c:pt idx="18">
                  <c:v>1.0129999999999999</c:v>
                </c:pt>
                <c:pt idx="19">
                  <c:v>1.077</c:v>
                </c:pt>
                <c:pt idx="20">
                  <c:v>1.1379999999999999</c:v>
                </c:pt>
                <c:pt idx="21">
                  <c:v>1.19</c:v>
                </c:pt>
                <c:pt idx="22">
                  <c:v>1.256</c:v>
                </c:pt>
                <c:pt idx="23">
                  <c:v>1.32</c:v>
                </c:pt>
                <c:pt idx="24">
                  <c:v>1.403</c:v>
                </c:pt>
                <c:pt idx="25">
                  <c:v>1.4890000000000001</c:v>
                </c:pt>
                <c:pt idx="26">
                  <c:v>1.585</c:v>
                </c:pt>
                <c:pt idx="27">
                  <c:v>1.7030000000000001</c:v>
                </c:pt>
                <c:pt idx="28">
                  <c:v>1.8680000000000001</c:v>
                </c:pt>
                <c:pt idx="29">
                  <c:v>2.2570000000000001</c:v>
                </c:pt>
                <c:pt idx="30">
                  <c:v>5.843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'RNN+Reg'!$N$103</c:f>
              <c:strCache>
                <c:ptCount val="1"/>
                <c:pt idx="0">
                  <c:v>CUSUM in 10D normal, mu:0-&gt;1</c:v>
                </c:pt>
              </c:strCache>
            </c:strRef>
          </c:tx>
          <c:spPr>
            <a:ln w="19050" cap="rnd">
              <a:solidFill>
                <a:sysClr val="windowText" lastClr="000000">
                  <a:lumMod val="50000"/>
                  <a:lumOff val="50000"/>
                </a:sys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Text" lastClr="000000">
                  <a:lumMod val="50000"/>
                  <a:lumOff val="50000"/>
                </a:sysClr>
              </a:solidFill>
              <a:ln w="952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  <a:effectLst/>
            </c:spPr>
          </c:marker>
          <c:xVal>
            <c:numRef>
              <c:f>'RNN+Reg'!$Q$108:$Q$118</c:f>
              <c:numCache>
                <c:formatCode>General</c:formatCode>
                <c:ptCount val="11"/>
                <c:pt idx="0">
                  <c:v>377.20800000000003</c:v>
                </c:pt>
                <c:pt idx="1">
                  <c:v>579.44000000000005</c:v>
                </c:pt>
                <c:pt idx="2">
                  <c:v>941.721</c:v>
                </c:pt>
                <c:pt idx="3">
                  <c:v>1537.0650000000001</c:v>
                </c:pt>
                <c:pt idx="4">
                  <c:v>2510.9859999999999</c:v>
                </c:pt>
                <c:pt idx="5">
                  <c:v>4111.6930000000002</c:v>
                </c:pt>
                <c:pt idx="6">
                  <c:v>6726.9080000000004</c:v>
                </c:pt>
                <c:pt idx="7">
                  <c:v>11763.155000000001</c:v>
                </c:pt>
                <c:pt idx="8">
                  <c:v>19287.677</c:v>
                </c:pt>
                <c:pt idx="9">
                  <c:v>31753.918000000001</c:v>
                </c:pt>
                <c:pt idx="10">
                  <c:v>51312.24</c:v>
                </c:pt>
              </c:numCache>
            </c:numRef>
          </c:xVal>
          <c:yVal>
            <c:numRef>
              <c:f>'RNN+Reg'!$O$108:$O$123</c:f>
              <c:numCache>
                <c:formatCode>General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0.65200000000000002</c:v>
                </c:pt>
                <c:pt idx="3">
                  <c:v>0.73199999999999998</c:v>
                </c:pt>
                <c:pt idx="4">
                  <c:v>0.81200000000000006</c:v>
                </c:pt>
                <c:pt idx="5">
                  <c:v>0.91800000000000004</c:v>
                </c:pt>
                <c:pt idx="6">
                  <c:v>1.0269999999999999</c:v>
                </c:pt>
                <c:pt idx="7">
                  <c:v>1.137</c:v>
                </c:pt>
                <c:pt idx="8">
                  <c:v>1.236</c:v>
                </c:pt>
                <c:pt idx="9">
                  <c:v>1.347</c:v>
                </c:pt>
                <c:pt idx="10">
                  <c:v>1.4730000000000001</c:v>
                </c:pt>
                <c:pt idx="11">
                  <c:v>1.6319999999999999</c:v>
                </c:pt>
                <c:pt idx="12">
                  <c:v>1.8640000000000001</c:v>
                </c:pt>
                <c:pt idx="13">
                  <c:v>2.0579999999999998</c:v>
                </c:pt>
                <c:pt idx="14">
                  <c:v>2.4079999999999999</c:v>
                </c:pt>
                <c:pt idx="15">
                  <c:v>2.843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3812608"/>
        <c:axId val="-1413814240"/>
        <c:extLst/>
      </c:scatterChart>
      <c:valAx>
        <c:axId val="-141381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4240"/>
        <c:crosses val="autoZero"/>
        <c:crossBetween val="midCat"/>
      </c:valAx>
      <c:valAx>
        <c:axId val="-14138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9171374764595075E-3"/>
          <c:y val="0.79539086169602846"/>
          <c:w val="0.98368225158295886"/>
          <c:h val="0.20460913830397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'RNN+Reg'!$D$145</c:f>
              <c:strCache>
                <c:ptCount val="1"/>
                <c:pt idx="0">
                  <c:v>Video overfit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'RNN+Reg'!$I$147:$I$163</c:f>
              <c:numCache>
                <c:formatCode>General</c:formatCode>
                <c:ptCount val="17"/>
                <c:pt idx="0">
                  <c:v>375.48610833333333</c:v>
                </c:pt>
                <c:pt idx="1">
                  <c:v>447.30306666666667</c:v>
                </c:pt>
                <c:pt idx="2">
                  <c:v>509.90892500000001</c:v>
                </c:pt>
                <c:pt idx="3">
                  <c:v>552.61930000000007</c:v>
                </c:pt>
                <c:pt idx="4">
                  <c:v>572.90292499999998</c:v>
                </c:pt>
                <c:pt idx="5">
                  <c:v>596.78545833333339</c:v>
                </c:pt>
                <c:pt idx="6">
                  <c:v>607.3300916666667</c:v>
                </c:pt>
                <c:pt idx="7">
                  <c:v>622.72979999999995</c:v>
                </c:pt>
                <c:pt idx="8">
                  <c:v>643.70709166666666</c:v>
                </c:pt>
                <c:pt idx="9">
                  <c:v>701.42061666666666</c:v>
                </c:pt>
                <c:pt idx="10">
                  <c:v>743.82192499999996</c:v>
                </c:pt>
                <c:pt idx="11">
                  <c:v>850.16666666666663</c:v>
                </c:pt>
                <c:pt idx="12">
                  <c:v>898.86446666666666</c:v>
                </c:pt>
                <c:pt idx="13">
                  <c:v>980.50268333333327</c:v>
                </c:pt>
                <c:pt idx="14">
                  <c:v>1071.6842583333334</c:v>
                </c:pt>
                <c:pt idx="15">
                  <c:v>1223.2254666666668</c:v>
                </c:pt>
                <c:pt idx="16">
                  <c:v>1240.7609500000001</c:v>
                </c:pt>
              </c:numCache>
            </c:numRef>
          </c:xVal>
          <c:yVal>
            <c:numRef>
              <c:f>'RNN+Reg'!$F$147:$F$163</c:f>
              <c:numCache>
                <c:formatCode>General</c:formatCode>
                <c:ptCount val="17"/>
                <c:pt idx="0">
                  <c:v>1.8558333333333333E-2</c:v>
                </c:pt>
                <c:pt idx="1">
                  <c:v>6.5954833333333331</c:v>
                </c:pt>
                <c:pt idx="2">
                  <c:v>10.133908333333332</c:v>
                </c:pt>
                <c:pt idx="3">
                  <c:v>12.179008333333334</c:v>
                </c:pt>
                <c:pt idx="4">
                  <c:v>12.900066666666667</c:v>
                </c:pt>
                <c:pt idx="5">
                  <c:v>13.81855</c:v>
                </c:pt>
                <c:pt idx="6">
                  <c:v>14.280441666666666</c:v>
                </c:pt>
                <c:pt idx="7">
                  <c:v>14.694216666666668</c:v>
                </c:pt>
                <c:pt idx="8">
                  <c:v>15.512733333333333</c:v>
                </c:pt>
                <c:pt idx="9">
                  <c:v>16.940425000000001</c:v>
                </c:pt>
                <c:pt idx="10">
                  <c:v>18.418516666666669</c:v>
                </c:pt>
                <c:pt idx="11">
                  <c:v>20.581475000000001</c:v>
                </c:pt>
                <c:pt idx="12">
                  <c:v>22.188191666666668</c:v>
                </c:pt>
                <c:pt idx="13">
                  <c:v>26.442941666666666</c:v>
                </c:pt>
                <c:pt idx="14">
                  <c:v>28.073474999999998</c:v>
                </c:pt>
                <c:pt idx="15">
                  <c:v>28.962499999999999</c:v>
                </c:pt>
                <c:pt idx="16">
                  <c:v>29.069700000000001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'RNN+Reg'!$K$145</c:f>
              <c:strCache>
                <c:ptCount val="1"/>
                <c:pt idx="0">
                  <c:v>Video underfit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'RNN+Reg'!$P$147:$P$169</c:f>
              <c:numCache>
                <c:formatCode>General</c:formatCode>
                <c:ptCount val="23"/>
                <c:pt idx="0">
                  <c:v>190.05905833333333</c:v>
                </c:pt>
                <c:pt idx="1">
                  <c:v>206.76188333333332</c:v>
                </c:pt>
                <c:pt idx="2">
                  <c:v>239.52166666666665</c:v>
                </c:pt>
                <c:pt idx="3">
                  <c:v>242.62934166666668</c:v>
                </c:pt>
                <c:pt idx="4">
                  <c:v>244.39030833333334</c:v>
                </c:pt>
                <c:pt idx="5">
                  <c:v>249.08861666666664</c:v>
                </c:pt>
                <c:pt idx="6">
                  <c:v>263.07709999999997</c:v>
                </c:pt>
                <c:pt idx="7">
                  <c:v>282.42374166666667</c:v>
                </c:pt>
                <c:pt idx="8">
                  <c:v>295.74631666666664</c:v>
                </c:pt>
                <c:pt idx="9">
                  <c:v>299.40490833333331</c:v>
                </c:pt>
                <c:pt idx="10">
                  <c:v>315.56313333333333</c:v>
                </c:pt>
                <c:pt idx="11">
                  <c:v>339.533975</c:v>
                </c:pt>
                <c:pt idx="12">
                  <c:v>361.15613333333329</c:v>
                </c:pt>
                <c:pt idx="13">
                  <c:v>373.02024166666661</c:v>
                </c:pt>
                <c:pt idx="14">
                  <c:v>390.09166666666664</c:v>
                </c:pt>
                <c:pt idx="15">
                  <c:v>408.78124166666669</c:v>
                </c:pt>
                <c:pt idx="16">
                  <c:v>432.59054166666664</c:v>
                </c:pt>
                <c:pt idx="17">
                  <c:v>547.33249166666667</c:v>
                </c:pt>
                <c:pt idx="18">
                  <c:v>570.99810000000002</c:v>
                </c:pt>
                <c:pt idx="19">
                  <c:v>609.48356666666666</c:v>
                </c:pt>
                <c:pt idx="20">
                  <c:v>679.28166666666664</c:v>
                </c:pt>
                <c:pt idx="21">
                  <c:v>795.29533333333336</c:v>
                </c:pt>
                <c:pt idx="22">
                  <c:v>1085.1335416666666</c:v>
                </c:pt>
              </c:numCache>
            </c:numRef>
          </c:xVal>
          <c:yVal>
            <c:numRef>
              <c:f>'RNN+Reg'!$M$147:$M$169</c:f>
              <c:numCache>
                <c:formatCode>General</c:formatCode>
                <c:ptCount val="23"/>
                <c:pt idx="0">
                  <c:v>1.4222250000000001</c:v>
                </c:pt>
                <c:pt idx="1">
                  <c:v>1.8024333333333333</c:v>
                </c:pt>
                <c:pt idx="2">
                  <c:v>1.8885583333333333</c:v>
                </c:pt>
                <c:pt idx="3">
                  <c:v>2.1786499999999998</c:v>
                </c:pt>
                <c:pt idx="4">
                  <c:v>2.6956416666666665</c:v>
                </c:pt>
                <c:pt idx="5">
                  <c:v>3.1891166666666666</c:v>
                </c:pt>
                <c:pt idx="6">
                  <c:v>4.8935249999999995</c:v>
                </c:pt>
                <c:pt idx="7">
                  <c:v>7.4689750000000004</c:v>
                </c:pt>
                <c:pt idx="8">
                  <c:v>8.6291666666666664</c:v>
                </c:pt>
                <c:pt idx="9">
                  <c:v>8.7591333333333328</c:v>
                </c:pt>
                <c:pt idx="10">
                  <c:v>9.6597083333333327</c:v>
                </c:pt>
                <c:pt idx="11">
                  <c:v>11.073258333333333</c:v>
                </c:pt>
                <c:pt idx="12">
                  <c:v>11.906016666666666</c:v>
                </c:pt>
                <c:pt idx="13">
                  <c:v>13.112499999999999</c:v>
                </c:pt>
                <c:pt idx="14">
                  <c:v>13.625658333333332</c:v>
                </c:pt>
                <c:pt idx="15">
                  <c:v>14.385716666666667</c:v>
                </c:pt>
                <c:pt idx="16">
                  <c:v>15.931050000000001</c:v>
                </c:pt>
                <c:pt idx="17">
                  <c:v>19.186508333333332</c:v>
                </c:pt>
                <c:pt idx="18">
                  <c:v>19.637991666666668</c:v>
                </c:pt>
                <c:pt idx="19">
                  <c:v>19.71255</c:v>
                </c:pt>
                <c:pt idx="20">
                  <c:v>19.928866666666664</c:v>
                </c:pt>
                <c:pt idx="21">
                  <c:v>20.480766666666668</c:v>
                </c:pt>
                <c:pt idx="22">
                  <c:v>21.165991666666667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13820768"/>
        <c:axId val="-1413819136"/>
      </c:scatterChart>
      <c:valAx>
        <c:axId val="-141382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19136"/>
        <c:crosses val="autoZero"/>
        <c:crossBetween val="midCat"/>
      </c:valAx>
      <c:valAx>
        <c:axId val="-14138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41382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DRQN!$B$15</c:f>
              <c:strCache>
                <c:ptCount val="1"/>
                <c:pt idx="0">
                  <c:v>CUSUM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DRQN!$C$17:$C$31</c:f>
              <c:numCache>
                <c:formatCode>General</c:formatCode>
                <c:ptCount val="15"/>
                <c:pt idx="0">
                  <c:v>1.0669999999999999</c:v>
                </c:pt>
                <c:pt idx="1">
                  <c:v>1.105</c:v>
                </c:pt>
                <c:pt idx="2">
                  <c:v>1.3779999999999999</c:v>
                </c:pt>
                <c:pt idx="3">
                  <c:v>1.538</c:v>
                </c:pt>
                <c:pt idx="4">
                  <c:v>1.746</c:v>
                </c:pt>
                <c:pt idx="5">
                  <c:v>1.891</c:v>
                </c:pt>
                <c:pt idx="6">
                  <c:v>1.9610000000000001</c:v>
                </c:pt>
                <c:pt idx="7">
                  <c:v>2.1179999999999999</c:v>
                </c:pt>
                <c:pt idx="8">
                  <c:v>2.246</c:v>
                </c:pt>
                <c:pt idx="9">
                  <c:v>2.48</c:v>
                </c:pt>
                <c:pt idx="10">
                  <c:v>2.8559999999999999</c:v>
                </c:pt>
                <c:pt idx="11">
                  <c:v>3.0739999999999998</c:v>
                </c:pt>
                <c:pt idx="12">
                  <c:v>3.2959999999999998</c:v>
                </c:pt>
                <c:pt idx="13">
                  <c:v>3.6520000000000001</c:v>
                </c:pt>
                <c:pt idx="14">
                  <c:v>4.2430000000000003</c:v>
                </c:pt>
              </c:numCache>
            </c:numRef>
          </c:xVal>
          <c:yVal>
            <c:numRef>
              <c:f>DRQN!$D$17:$D$31</c:f>
              <c:numCache>
                <c:formatCode>General</c:formatCode>
                <c:ptCount val="15"/>
                <c:pt idx="0">
                  <c:v>0.997</c:v>
                </c:pt>
                <c:pt idx="1">
                  <c:v>0.98099999999999998</c:v>
                </c:pt>
                <c:pt idx="2">
                  <c:v>0.90200000000000002</c:v>
                </c:pt>
                <c:pt idx="3">
                  <c:v>0.76</c:v>
                </c:pt>
                <c:pt idx="4">
                  <c:v>0.54300000000000004</c:v>
                </c:pt>
                <c:pt idx="5">
                  <c:v>0.42099999999999999</c:v>
                </c:pt>
                <c:pt idx="6">
                  <c:v>0.26300000000000001</c:v>
                </c:pt>
                <c:pt idx="7">
                  <c:v>0.154</c:v>
                </c:pt>
                <c:pt idx="8">
                  <c:v>0.109</c:v>
                </c:pt>
                <c:pt idx="9">
                  <c:v>0.04</c:v>
                </c:pt>
                <c:pt idx="10">
                  <c:v>1.0999999999999999E-2</c:v>
                </c:pt>
                <c:pt idx="11">
                  <c:v>1.0999999999999999E-2</c:v>
                </c:pt>
                <c:pt idx="12">
                  <c:v>3.0000000000000001E-3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</c:ser>
        <c:ser>
          <c:idx val="5"/>
          <c:order val="3"/>
          <c:tx>
            <c:strRef>
              <c:f>DRQN!$G$34</c:f>
              <c:strCache>
                <c:ptCount val="1"/>
                <c:pt idx="0">
                  <c:v>Necip v10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DRQN!$H$36:$H$42</c:f>
              <c:numCache>
                <c:formatCode>General</c:formatCode>
                <c:ptCount val="7"/>
                <c:pt idx="0">
                  <c:v>2.72</c:v>
                </c:pt>
                <c:pt idx="1">
                  <c:v>3.6429999999999998</c:v>
                </c:pt>
                <c:pt idx="2">
                  <c:v>3.3119999999999998</c:v>
                </c:pt>
                <c:pt idx="3">
                  <c:v>4.7119999999999997</c:v>
                </c:pt>
                <c:pt idx="4">
                  <c:v>3.2719999999999998</c:v>
                </c:pt>
                <c:pt idx="5">
                  <c:v>4.3789999999999996</c:v>
                </c:pt>
                <c:pt idx="6">
                  <c:v>6.2450000000000001</c:v>
                </c:pt>
              </c:numCache>
            </c:numRef>
          </c:xVal>
          <c:yVal>
            <c:numRef>
              <c:f>DRQN!$I$36:$I$42</c:f>
              <c:numCache>
                <c:formatCode>General</c:formatCode>
                <c:ptCount val="7"/>
                <c:pt idx="0">
                  <c:v>0.41</c:v>
                </c:pt>
                <c:pt idx="1">
                  <c:v>0.13</c:v>
                </c:pt>
                <c:pt idx="2">
                  <c:v>0.28499999999999998</c:v>
                </c:pt>
                <c:pt idx="3">
                  <c:v>0.01</c:v>
                </c:pt>
                <c:pt idx="4">
                  <c:v>0.12</c:v>
                </c:pt>
                <c:pt idx="5">
                  <c:v>2.5000000000000001E-2</c:v>
                </c:pt>
                <c:pt idx="6">
                  <c:v>0</c:v>
                </c:pt>
              </c:numCache>
            </c:numRef>
          </c:yVal>
          <c:smooth val="0"/>
        </c:ser>
        <c:ser>
          <c:idx val="3"/>
          <c:order val="4"/>
          <c:tx>
            <c:strRef>
              <c:f>DRQN!$B$34</c:f>
              <c:strCache>
                <c:ptCount val="1"/>
                <c:pt idx="0">
                  <c:v>LSTM only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DRQN!$C$36:$C$45</c:f>
              <c:numCache>
                <c:formatCode>General</c:formatCode>
                <c:ptCount val="10"/>
                <c:pt idx="0">
                  <c:v>1.282</c:v>
                </c:pt>
                <c:pt idx="1">
                  <c:v>1.4410000000000001</c:v>
                </c:pt>
                <c:pt idx="2">
                  <c:v>1.5860000000000001</c:v>
                </c:pt>
                <c:pt idx="3">
                  <c:v>1.617</c:v>
                </c:pt>
                <c:pt idx="4">
                  <c:v>1.7210000000000001</c:v>
                </c:pt>
                <c:pt idx="5">
                  <c:v>1.867</c:v>
                </c:pt>
                <c:pt idx="6">
                  <c:v>2.274</c:v>
                </c:pt>
                <c:pt idx="7">
                  <c:v>2.4590000000000001</c:v>
                </c:pt>
                <c:pt idx="8">
                  <c:v>2.9380000000000002</c:v>
                </c:pt>
                <c:pt idx="9">
                  <c:v>3.6219999999999999</c:v>
                </c:pt>
              </c:numCache>
            </c:numRef>
          </c:xVal>
          <c:yVal>
            <c:numRef>
              <c:f>DRQN!$D$36:$D$45</c:f>
              <c:numCache>
                <c:formatCode>General</c:formatCode>
                <c:ptCount val="10"/>
                <c:pt idx="0">
                  <c:v>0.92900000000000005</c:v>
                </c:pt>
                <c:pt idx="1">
                  <c:v>0.88600000000000001</c:v>
                </c:pt>
                <c:pt idx="2">
                  <c:v>0.77800000000000002</c:v>
                </c:pt>
                <c:pt idx="3">
                  <c:v>0.66300000000000003</c:v>
                </c:pt>
                <c:pt idx="4">
                  <c:v>0.47599999999999998</c:v>
                </c:pt>
                <c:pt idx="5">
                  <c:v>0.29099999999999998</c:v>
                </c:pt>
                <c:pt idx="6">
                  <c:v>0.123</c:v>
                </c:pt>
                <c:pt idx="7">
                  <c:v>5.0999999999999997E-2</c:v>
                </c:pt>
                <c:pt idx="8">
                  <c:v>1.7000000000000001E-2</c:v>
                </c:pt>
                <c:pt idx="9">
                  <c:v>8.0000000000000002E-3</c:v>
                </c:pt>
              </c:numCache>
            </c:numRef>
          </c:yVal>
          <c:smooth val="0"/>
        </c:ser>
        <c:ser>
          <c:idx val="4"/>
          <c:order val="5"/>
          <c:tx>
            <c:strRef>
              <c:f>DRQN!$B$47</c:f>
              <c:strCache>
                <c:ptCount val="1"/>
                <c:pt idx="0">
                  <c:v>LSTM real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DRQN!$C$49:$C$58</c:f>
              <c:numCache>
                <c:formatCode>General</c:formatCode>
                <c:ptCount val="10"/>
                <c:pt idx="0">
                  <c:v>3.9340000000000002</c:v>
                </c:pt>
                <c:pt idx="1">
                  <c:v>4.3289999999999997</c:v>
                </c:pt>
                <c:pt idx="2">
                  <c:v>4.4139999999999997</c:v>
                </c:pt>
                <c:pt idx="3">
                  <c:v>4.5030000000000001</c:v>
                </c:pt>
                <c:pt idx="4">
                  <c:v>5.0694999999999997</c:v>
                </c:pt>
                <c:pt idx="5">
                  <c:v>5.21</c:v>
                </c:pt>
                <c:pt idx="6">
                  <c:v>5.4820000000000002</c:v>
                </c:pt>
                <c:pt idx="7">
                  <c:v>5.6879999999999997</c:v>
                </c:pt>
                <c:pt idx="8">
                  <c:v>5.968</c:v>
                </c:pt>
                <c:pt idx="9">
                  <c:v>5.9704999999999995</c:v>
                </c:pt>
              </c:numCache>
            </c:numRef>
          </c:xVal>
          <c:yVal>
            <c:numRef>
              <c:f>DRQN!$D$49:$D$58</c:f>
              <c:numCache>
                <c:formatCode>General</c:formatCode>
                <c:ptCount val="10"/>
                <c:pt idx="0">
                  <c:v>0.81699999999999995</c:v>
                </c:pt>
                <c:pt idx="1">
                  <c:v>0.71399999999999997</c:v>
                </c:pt>
                <c:pt idx="2">
                  <c:v>0.54800000000000004</c:v>
                </c:pt>
                <c:pt idx="3">
                  <c:v>0.36</c:v>
                </c:pt>
                <c:pt idx="4">
                  <c:v>0.15899999999999997</c:v>
                </c:pt>
                <c:pt idx="5">
                  <c:v>9.7000000000000003E-2</c:v>
                </c:pt>
                <c:pt idx="6">
                  <c:v>4.8000000000000001E-2</c:v>
                </c:pt>
                <c:pt idx="7">
                  <c:v>2.1000000000000001E-2</c:v>
                </c:pt>
                <c:pt idx="8">
                  <c:v>9.4999999999999998E-3</c:v>
                </c:pt>
                <c:pt idx="9">
                  <c:v>9.4999999999999998E-3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DRQN!$G$51</c:f>
              <c:strCache>
                <c:ptCount val="1"/>
                <c:pt idx="0">
                  <c:v>Necip v10 0.5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DRQN!$K$51:$K$59</c:f>
              <c:numCache>
                <c:formatCode>General</c:formatCode>
                <c:ptCount val="9"/>
                <c:pt idx="0">
                  <c:v>2.843</c:v>
                </c:pt>
                <c:pt idx="1">
                  <c:v>2.9009999999999998</c:v>
                </c:pt>
                <c:pt idx="2">
                  <c:v>3.3530000000000002</c:v>
                </c:pt>
                <c:pt idx="3">
                  <c:v>3.4430000000000001</c:v>
                </c:pt>
                <c:pt idx="4">
                  <c:v>3.5720000000000001</c:v>
                </c:pt>
                <c:pt idx="5">
                  <c:v>3.6429999999999998</c:v>
                </c:pt>
                <c:pt idx="6">
                  <c:v>3.6429999999999998</c:v>
                </c:pt>
                <c:pt idx="7">
                  <c:v>3.9710000000000001</c:v>
                </c:pt>
                <c:pt idx="8">
                  <c:v>4.4379999999999997</c:v>
                </c:pt>
              </c:numCache>
            </c:numRef>
          </c:xVal>
          <c:yVal>
            <c:numRef>
              <c:f>DRQN!$L$51:$L$59</c:f>
              <c:numCache>
                <c:formatCode>General</c:formatCode>
                <c:ptCount val="9"/>
                <c:pt idx="0">
                  <c:v>0.42499999999999999</c:v>
                </c:pt>
                <c:pt idx="1">
                  <c:v>8.5000000000000006E-2</c:v>
                </c:pt>
                <c:pt idx="2">
                  <c:v>0.33500000000000002</c:v>
                </c:pt>
                <c:pt idx="3">
                  <c:v>0.155</c:v>
                </c:pt>
                <c:pt idx="4">
                  <c:v>0.1</c:v>
                </c:pt>
                <c:pt idx="5">
                  <c:v>0.115</c:v>
                </c:pt>
                <c:pt idx="6">
                  <c:v>0.13</c:v>
                </c:pt>
                <c:pt idx="7">
                  <c:v>8.5000000000000006E-2</c:v>
                </c:pt>
                <c:pt idx="8">
                  <c:v>0.03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51498528"/>
        <c:axId val="-135149580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DRQN!$B$3</c15:sqref>
                        </c15:formulaRef>
                      </c:ext>
                    </c:extLst>
                    <c:strCache>
                      <c:ptCount val="1"/>
                      <c:pt idx="0">
                        <c:v>CUSUM 0 to 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DRQN!$C$5:$C$12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1.0580000000000001</c:v>
                      </c:pt>
                      <c:pt idx="1">
                        <c:v>1.145</c:v>
                      </c:pt>
                      <c:pt idx="2">
                        <c:v>1.248</c:v>
                      </c:pt>
                      <c:pt idx="3">
                        <c:v>1.385</c:v>
                      </c:pt>
                      <c:pt idx="4">
                        <c:v>1.681</c:v>
                      </c:pt>
                      <c:pt idx="5">
                        <c:v>1.8340000000000001</c:v>
                      </c:pt>
                      <c:pt idx="6">
                        <c:v>2.5249999999999999</c:v>
                      </c:pt>
                      <c:pt idx="7">
                        <c:v>2.95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DRQN!$D$5:$D$12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0.52200000000000002</c:v>
                      </c:pt>
                      <c:pt idx="1">
                        <c:v>0.36</c:v>
                      </c:pt>
                      <c:pt idx="2">
                        <c:v>0.20300000000000001</c:v>
                      </c:pt>
                      <c:pt idx="3">
                        <c:v>0.09</c:v>
                      </c:pt>
                      <c:pt idx="4">
                        <c:v>3.6999999999999998E-2</c:v>
                      </c:pt>
                      <c:pt idx="5">
                        <c:v>5.0000000000000001E-3</c:v>
                      </c:pt>
                      <c:pt idx="6">
                        <c:v>0</c:v>
                      </c:pt>
                      <c:pt idx="7">
                        <c:v>0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DRQN!$G$6</c15:sqref>
                        </c15:formulaRef>
                      </c:ext>
                    </c:extLst>
                    <c:strCache>
                      <c:ptCount val="1"/>
                      <c:pt idx="0">
                        <c:v>Necip v8 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DRQN!$H$8:$H$32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0.5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1.583</c:v>
                      </c:pt>
                      <c:pt idx="16">
                        <c:v>1.625</c:v>
                      </c:pt>
                      <c:pt idx="17">
                        <c:v>2.1419999999999999</c:v>
                      </c:pt>
                      <c:pt idx="18">
                        <c:v>2.169</c:v>
                      </c:pt>
                      <c:pt idx="19">
                        <c:v>2.4540000000000002</c:v>
                      </c:pt>
                      <c:pt idx="20">
                        <c:v>2.5</c:v>
                      </c:pt>
                      <c:pt idx="21">
                        <c:v>3.2</c:v>
                      </c:pt>
                      <c:pt idx="22">
                        <c:v>4.4470000000000001</c:v>
                      </c:pt>
                      <c:pt idx="23">
                        <c:v>5.0430000000000001</c:v>
                      </c:pt>
                      <c:pt idx="24">
                        <c:v>6.89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DRQN!$I$8:$I$32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0.98</c:v>
                      </c:pt>
                      <c:pt idx="11">
                        <c:v>0.97</c:v>
                      </c:pt>
                      <c:pt idx="12">
                        <c:v>0.98</c:v>
                      </c:pt>
                      <c:pt idx="13">
                        <c:v>0.99</c:v>
                      </c:pt>
                      <c:pt idx="14">
                        <c:v>0.99</c:v>
                      </c:pt>
                      <c:pt idx="15">
                        <c:v>0.76</c:v>
                      </c:pt>
                      <c:pt idx="16">
                        <c:v>0.76</c:v>
                      </c:pt>
                      <c:pt idx="17">
                        <c:v>0.79</c:v>
                      </c:pt>
                      <c:pt idx="18">
                        <c:v>0.47</c:v>
                      </c:pt>
                      <c:pt idx="19">
                        <c:v>0.56000000000000005</c:v>
                      </c:pt>
                      <c:pt idx="20">
                        <c:v>0.8</c:v>
                      </c:pt>
                      <c:pt idx="21">
                        <c:v>0.15</c:v>
                      </c:pt>
                      <c:pt idx="22">
                        <c:v>0.04</c:v>
                      </c:pt>
                      <c:pt idx="23">
                        <c:v>7.0000000000000007E-2</c:v>
                      </c:pt>
                      <c:pt idx="24">
                        <c:v>0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-135149852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351495808"/>
        <c:crosses val="autoZero"/>
        <c:crossBetween val="midCat"/>
      </c:valAx>
      <c:valAx>
        <c:axId val="-13514958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35149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886482939632541E-2"/>
          <c:y val="4.1548630783758263E-2"/>
          <c:w val="0.84709820647419098"/>
          <c:h val="0.61715823850858131"/>
        </c:manualLayout>
      </c:layout>
      <c:scatterChart>
        <c:scatterStyle val="lineMarker"/>
        <c:varyColors val="0"/>
        <c:ser>
          <c:idx val="1"/>
          <c:order val="0"/>
          <c:tx>
            <c:strRef>
              <c:f>'RNN prediction version'!$H$23</c:f>
              <c:strCache>
                <c:ptCount val="1"/>
                <c:pt idx="0">
                  <c:v>RNN (prediction + smooth version)</c:v>
                </c:pt>
              </c:strCache>
            </c:strRef>
          </c:tx>
          <c:spPr>
            <a:ln w="19050" cap="rnd">
              <a:solidFill>
                <a:srgbClr val="1F497D">
                  <a:lumMod val="75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F497D">
                  <a:lumMod val="75000"/>
                </a:srgbClr>
              </a:solidFill>
              <a:ln w="9525">
                <a:solidFill>
                  <a:srgbClr val="1F497D">
                    <a:lumMod val="75000"/>
                  </a:srgbClr>
                </a:solidFill>
              </a:ln>
              <a:effectLst/>
            </c:spPr>
          </c:marker>
          <c:xVal>
            <c:numRef>
              <c:f>'RNN prediction version'!$I$28:$I$44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2E-3</c:v>
                </c:pt>
                <c:pt idx="6">
                  <c:v>4.0000000000000001E-3</c:v>
                </c:pt>
                <c:pt idx="7">
                  <c:v>5.0000000000000001E-3</c:v>
                </c:pt>
                <c:pt idx="8">
                  <c:v>7.0000000000000001E-3</c:v>
                </c:pt>
                <c:pt idx="9">
                  <c:v>2.1000000000000001E-2</c:v>
                </c:pt>
                <c:pt idx="10">
                  <c:v>5.8000000000000003E-2</c:v>
                </c:pt>
                <c:pt idx="11">
                  <c:v>9.5000000000000001E-2</c:v>
                </c:pt>
                <c:pt idx="12">
                  <c:v>0.27700000000000002</c:v>
                </c:pt>
                <c:pt idx="13">
                  <c:v>0.54</c:v>
                </c:pt>
                <c:pt idx="14">
                  <c:v>0.95399999999999996</c:v>
                </c:pt>
                <c:pt idx="15">
                  <c:v>1.7190000000000001</c:v>
                </c:pt>
                <c:pt idx="16">
                  <c:v>2.6349999999999998</c:v>
                </c:pt>
              </c:numCache>
            </c:numRef>
          </c:xVal>
          <c:yVal>
            <c:numRef>
              <c:f>'RNN prediction version'!$K$28:$K$44</c:f>
              <c:numCache>
                <c:formatCode>General</c:formatCode>
                <c:ptCount val="17"/>
                <c:pt idx="0">
                  <c:v>64.364999999999995</c:v>
                </c:pt>
                <c:pt idx="1">
                  <c:v>69.628</c:v>
                </c:pt>
                <c:pt idx="2">
                  <c:v>89.536000000000001</c:v>
                </c:pt>
                <c:pt idx="3">
                  <c:v>230.07</c:v>
                </c:pt>
                <c:pt idx="4">
                  <c:v>291.2</c:v>
                </c:pt>
                <c:pt idx="5">
                  <c:v>376.69</c:v>
                </c:pt>
                <c:pt idx="6">
                  <c:v>400.58</c:v>
                </c:pt>
                <c:pt idx="7">
                  <c:v>408.55</c:v>
                </c:pt>
                <c:pt idx="8">
                  <c:v>420.05</c:v>
                </c:pt>
                <c:pt idx="9">
                  <c:v>500.73</c:v>
                </c:pt>
                <c:pt idx="10">
                  <c:v>543.84</c:v>
                </c:pt>
                <c:pt idx="11">
                  <c:v>562.46</c:v>
                </c:pt>
                <c:pt idx="12">
                  <c:v>634.13</c:v>
                </c:pt>
                <c:pt idx="13">
                  <c:v>687.19</c:v>
                </c:pt>
                <c:pt idx="14">
                  <c:v>720.35</c:v>
                </c:pt>
                <c:pt idx="15">
                  <c:v>723.52</c:v>
                </c:pt>
                <c:pt idx="16">
                  <c:v>726.72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'RNN prediction version'!$M$23</c:f>
              <c:strCache>
                <c:ptCount val="1"/>
                <c:pt idx="0">
                  <c:v>RNN (prediction only version)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'RNN prediction version'!$N$28:$N$42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1E-3</c:v>
                </c:pt>
                <c:pt idx="10">
                  <c:v>2E-3</c:v>
                </c:pt>
                <c:pt idx="11">
                  <c:v>5.0000000000000001E-3</c:v>
                </c:pt>
                <c:pt idx="12">
                  <c:v>6.8000000000000005E-2</c:v>
                </c:pt>
                <c:pt idx="13">
                  <c:v>0.251</c:v>
                </c:pt>
                <c:pt idx="14">
                  <c:v>1.075</c:v>
                </c:pt>
              </c:numCache>
            </c:numRef>
          </c:xVal>
          <c:yVal>
            <c:numRef>
              <c:f>'RNN prediction version'!$P$28:$P$42</c:f>
              <c:numCache>
                <c:formatCode>General</c:formatCode>
                <c:ptCount val="15"/>
                <c:pt idx="0">
                  <c:v>40.49</c:v>
                </c:pt>
                <c:pt idx="1">
                  <c:v>43.66</c:v>
                </c:pt>
                <c:pt idx="2">
                  <c:v>52.7</c:v>
                </c:pt>
                <c:pt idx="3">
                  <c:v>98.2</c:v>
                </c:pt>
                <c:pt idx="4">
                  <c:v>105.41</c:v>
                </c:pt>
                <c:pt idx="5">
                  <c:v>112.57</c:v>
                </c:pt>
                <c:pt idx="6">
                  <c:v>126.92</c:v>
                </c:pt>
                <c:pt idx="7">
                  <c:v>130.04</c:v>
                </c:pt>
                <c:pt idx="8">
                  <c:v>174.17</c:v>
                </c:pt>
                <c:pt idx="9">
                  <c:v>177.94</c:v>
                </c:pt>
                <c:pt idx="10">
                  <c:v>185.37</c:v>
                </c:pt>
                <c:pt idx="11">
                  <c:v>189.43</c:v>
                </c:pt>
                <c:pt idx="12">
                  <c:v>233.96</c:v>
                </c:pt>
                <c:pt idx="13">
                  <c:v>325.23</c:v>
                </c:pt>
                <c:pt idx="14">
                  <c:v>524.73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35390576"/>
        <c:axId val="-1242731248"/>
        <c:extLst/>
      </c:scatterChart>
      <c:valAx>
        <c:axId val="-123539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242731248"/>
        <c:crosses val="autoZero"/>
        <c:crossBetween val="midCat"/>
      </c:valAx>
      <c:valAx>
        <c:axId val="-124273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23539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2205968329788155E-2"/>
          <c:y val="0.81471453907399716"/>
          <c:w val="0.84401118120273211"/>
          <c:h val="0.18528546092600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5.xml"/><Relationship Id="rId7" Type="http://schemas.openxmlformats.org/officeDocument/2006/relationships/chart" Target="../charts/chart8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566738</xdr:colOff>
      <xdr:row>4</xdr:row>
      <xdr:rowOff>150019</xdr:rowOff>
    </xdr:from>
    <xdr:to>
      <xdr:col>18</xdr:col>
      <xdr:colOff>385763</xdr:colOff>
      <xdr:row>28</xdr:row>
      <xdr:rowOff>7144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595312</xdr:colOff>
      <xdr:row>28</xdr:row>
      <xdr:rowOff>35717</xdr:rowOff>
    </xdr:from>
    <xdr:to>
      <xdr:col>18</xdr:col>
      <xdr:colOff>371475</xdr:colOff>
      <xdr:row>48</xdr:row>
      <xdr:rowOff>133349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27</xdr:row>
      <xdr:rowOff>9524</xdr:rowOff>
    </xdr:from>
    <xdr:to>
      <xdr:col>17</xdr:col>
      <xdr:colOff>428625</xdr:colOff>
      <xdr:row>46</xdr:row>
      <xdr:rowOff>171449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371475</xdr:colOff>
      <xdr:row>27</xdr:row>
      <xdr:rowOff>2</xdr:rowOff>
    </xdr:from>
    <xdr:to>
      <xdr:col>7</xdr:col>
      <xdr:colOff>342900</xdr:colOff>
      <xdr:row>44</xdr:row>
      <xdr:rowOff>47626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390525</xdr:colOff>
      <xdr:row>27</xdr:row>
      <xdr:rowOff>9525</xdr:rowOff>
    </xdr:from>
    <xdr:to>
      <xdr:col>12</xdr:col>
      <xdr:colOff>361950</xdr:colOff>
      <xdr:row>44</xdr:row>
      <xdr:rowOff>57149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104775</xdr:colOff>
      <xdr:row>0</xdr:row>
      <xdr:rowOff>152400</xdr:rowOff>
    </xdr:from>
    <xdr:to>
      <xdr:col>6</xdr:col>
      <xdr:colOff>460812</xdr:colOff>
      <xdr:row>6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5575" y="152400"/>
          <a:ext cx="2299137" cy="1143000"/>
        </a:xfrm>
        <a:prstGeom prst="rect">
          <a:avLst/>
        </a:prstGeom>
      </xdr:spPr>
    </xdr:pic>
    <xdr:clientData/>
  </xdr:twoCellAnchor>
  <xdr:twoCellAnchor>
    <xdr:from>
      <xdr:col>17</xdr:col>
      <xdr:colOff>476251</xdr:colOff>
      <xdr:row>27</xdr:row>
      <xdr:rowOff>2</xdr:rowOff>
    </xdr:from>
    <xdr:to>
      <xdr:col>23</xdr:col>
      <xdr:colOff>9525</xdr:colOff>
      <xdr:row>44</xdr:row>
      <xdr:rowOff>47626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19050</xdr:colOff>
      <xdr:row>81</xdr:row>
      <xdr:rowOff>2</xdr:rowOff>
    </xdr:from>
    <xdr:to>
      <xdr:col>7</xdr:col>
      <xdr:colOff>342900</xdr:colOff>
      <xdr:row>98</xdr:row>
      <xdr:rowOff>47626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619125</xdr:colOff>
      <xdr:row>81</xdr:row>
      <xdr:rowOff>47625</xdr:rowOff>
    </xdr:from>
    <xdr:to>
      <xdr:col>17</xdr:col>
      <xdr:colOff>95250</xdr:colOff>
      <xdr:row>98</xdr:row>
      <xdr:rowOff>95249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287946</xdr:colOff>
      <xdr:row>148</xdr:row>
      <xdr:rowOff>148737</xdr:rowOff>
    </xdr:from>
    <xdr:to>
      <xdr:col>12</xdr:col>
      <xdr:colOff>326045</xdr:colOff>
      <xdr:row>160</xdr:row>
      <xdr:rowOff>146538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514349</xdr:colOff>
      <xdr:row>5</xdr:row>
      <xdr:rowOff>142875</xdr:rowOff>
    </xdr:from>
    <xdr:to>
      <xdr:col>16</xdr:col>
      <xdr:colOff>219074</xdr:colOff>
      <xdr:row>25</xdr:row>
      <xdr:rowOff>152400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19</xdr:row>
      <xdr:rowOff>19050</xdr:rowOff>
    </xdr:from>
    <xdr:to>
      <xdr:col>6</xdr:col>
      <xdr:colOff>495300</xdr:colOff>
      <xdr:row>35</xdr:row>
      <xdr:rowOff>104774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archive.ics.uci.edu/ml/datasets/detection_of_IoT_botnet_attacks_N_BaIo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J50"/>
  <sheetViews>
    <sheetView topLeftCell="A5" zoomScaleNormal="100" workbookViewId="0">
      <selection activeCell="B44" sqref="B44"/>
    </sheetView>
  </sheetViews>
  <sheetFormatPr defaultRowHeight="15"/>
  <cols>
    <col min="1" max="16384" width="9" style="6"/>
  </cols>
  <sheetData>
    <row r="7" spans="2:10">
      <c r="B7" s="6" t="s">
        <v>96</v>
      </c>
    </row>
    <row r="8" spans="2:10">
      <c r="B8" s="6" t="s">
        <v>98</v>
      </c>
      <c r="G8" s="6" t="s">
        <v>99</v>
      </c>
    </row>
    <row r="9" spans="2:10">
      <c r="B9" s="6" t="s">
        <v>97</v>
      </c>
      <c r="G9" s="6" t="s">
        <v>100</v>
      </c>
    </row>
    <row r="10" spans="2:10">
      <c r="B10" s="6" t="s">
        <v>90</v>
      </c>
      <c r="C10" s="6" t="s">
        <v>91</v>
      </c>
      <c r="D10" s="6" t="s">
        <v>94</v>
      </c>
      <c r="E10" s="6" t="s">
        <v>95</v>
      </c>
      <c r="G10" s="6" t="s">
        <v>90</v>
      </c>
      <c r="H10" s="6" t="s">
        <v>91</v>
      </c>
      <c r="I10" s="6" t="s">
        <v>92</v>
      </c>
      <c r="J10" s="6" t="s">
        <v>93</v>
      </c>
    </row>
    <row r="11" spans="2:10">
      <c r="D11" s="6">
        <v>1</v>
      </c>
      <c r="I11" s="6">
        <v>1</v>
      </c>
    </row>
    <row r="12" spans="2:10">
      <c r="B12" s="6">
        <v>0.01</v>
      </c>
      <c r="C12" s="6">
        <v>255</v>
      </c>
      <c r="D12" s="6">
        <f>C12/1354</f>
        <v>0.18833087149187591</v>
      </c>
      <c r="E12" s="6">
        <v>1198.835294117647</v>
      </c>
      <c r="G12" s="6">
        <v>0.01</v>
      </c>
      <c r="H12" s="6">
        <v>4096</v>
      </c>
      <c r="I12" s="6">
        <f>H12/4096</f>
        <v>1</v>
      </c>
      <c r="J12" s="6">
        <v>0</v>
      </c>
    </row>
    <row r="13" spans="2:10">
      <c r="B13" s="6">
        <v>0.02</v>
      </c>
      <c r="C13" s="6">
        <v>157</v>
      </c>
      <c r="D13" s="6">
        <f t="shared" ref="D13:D49" si="0">C13/1354</f>
        <v>0.11595273264401773</v>
      </c>
      <c r="E13" s="6">
        <v>2058.6369426751594</v>
      </c>
      <c r="G13" s="6">
        <v>0.02</v>
      </c>
      <c r="H13" s="6">
        <v>4096</v>
      </c>
      <c r="I13" s="6">
        <f t="shared" ref="I13:I49" si="1">H13/4096</f>
        <v>1</v>
      </c>
      <c r="J13" s="6">
        <v>9.765625E-3</v>
      </c>
    </row>
    <row r="14" spans="2:10">
      <c r="B14" s="6">
        <v>0.03</v>
      </c>
      <c r="C14" s="6">
        <v>109</v>
      </c>
      <c r="D14" s="6">
        <f t="shared" si="0"/>
        <v>8.0502215657311665E-2</v>
      </c>
      <c r="E14" s="6">
        <v>3022.0917431192661</v>
      </c>
      <c r="G14" s="6">
        <v>0.03</v>
      </c>
      <c r="H14" s="6">
        <v>4096</v>
      </c>
      <c r="I14" s="6">
        <f t="shared" si="1"/>
        <v>1</v>
      </c>
      <c r="J14" s="6">
        <v>5.17578125E-2</v>
      </c>
    </row>
    <row r="15" spans="2:10">
      <c r="B15" s="6">
        <v>0.04</v>
      </c>
      <c r="C15" s="6">
        <v>81</v>
      </c>
      <c r="D15" s="6">
        <f t="shared" si="0"/>
        <v>5.982274741506647E-2</v>
      </c>
      <c r="E15" s="6">
        <v>4107.0987654320988</v>
      </c>
      <c r="G15" s="6">
        <v>0.04</v>
      </c>
      <c r="H15" s="6">
        <v>4096</v>
      </c>
      <c r="I15" s="6">
        <f t="shared" si="1"/>
        <v>1</v>
      </c>
      <c r="J15" s="6">
        <v>6.1767578125E-2</v>
      </c>
    </row>
    <row r="16" spans="2:10">
      <c r="B16" s="6">
        <v>0.05</v>
      </c>
      <c r="C16" s="6">
        <v>75</v>
      </c>
      <c r="D16" s="6">
        <f t="shared" si="0"/>
        <v>5.5391432791728215E-2</v>
      </c>
      <c r="E16" s="6">
        <v>4447.2666666666664</v>
      </c>
      <c r="G16" s="6">
        <v>0.05</v>
      </c>
      <c r="H16" s="6">
        <v>4096</v>
      </c>
      <c r="I16" s="6">
        <f>H16/4096</f>
        <v>1</v>
      </c>
      <c r="J16" s="6">
        <v>6.787109375E-2</v>
      </c>
    </row>
    <row r="17" spans="2:10">
      <c r="B17" s="6">
        <v>0.06</v>
      </c>
      <c r="C17" s="6">
        <v>69</v>
      </c>
      <c r="D17" s="6">
        <f t="shared" si="0"/>
        <v>5.0960118168389953E-2</v>
      </c>
      <c r="E17" s="6">
        <v>4843.898550724638</v>
      </c>
      <c r="G17" s="6">
        <v>0.06</v>
      </c>
      <c r="H17" s="6">
        <v>4096</v>
      </c>
      <c r="I17" s="6">
        <f t="shared" si="1"/>
        <v>1</v>
      </c>
      <c r="J17" s="6">
        <v>8.7890625E-2</v>
      </c>
    </row>
    <row r="18" spans="2:10">
      <c r="B18" s="6">
        <v>7.0000000000000007E-2</v>
      </c>
      <c r="C18" s="6">
        <v>65</v>
      </c>
      <c r="D18" s="6">
        <f t="shared" si="0"/>
        <v>4.8005908419497784E-2</v>
      </c>
      <c r="E18" s="6">
        <v>5152.9230769230771</v>
      </c>
      <c r="G18" s="6">
        <v>7.0000000000000007E-2</v>
      </c>
      <c r="H18" s="6">
        <v>4096</v>
      </c>
      <c r="I18" s="6">
        <f t="shared" si="1"/>
        <v>1</v>
      </c>
      <c r="J18" s="6">
        <v>0.119873046875</v>
      </c>
    </row>
    <row r="19" spans="2:10">
      <c r="B19" s="6">
        <v>0.08</v>
      </c>
      <c r="C19" s="6">
        <v>61</v>
      </c>
      <c r="D19" s="6">
        <f t="shared" si="0"/>
        <v>4.5051698670605614E-2</v>
      </c>
      <c r="E19" s="6">
        <v>5496.2950819672133</v>
      </c>
      <c r="G19" s="6">
        <v>0.08</v>
      </c>
      <c r="H19" s="6">
        <v>4096</v>
      </c>
      <c r="I19" s="6">
        <f t="shared" si="1"/>
        <v>1</v>
      </c>
      <c r="J19" s="6">
        <v>0.158935546875</v>
      </c>
    </row>
    <row r="20" spans="2:10">
      <c r="B20" s="6">
        <v>0.09</v>
      </c>
      <c r="C20" s="6">
        <v>61</v>
      </c>
      <c r="D20" s="6">
        <f t="shared" si="0"/>
        <v>4.5051698670605614E-2</v>
      </c>
      <c r="E20" s="6">
        <v>5496.8688524590161</v>
      </c>
      <c r="G20" s="6">
        <v>0.09</v>
      </c>
      <c r="H20" s="6">
        <v>4096</v>
      </c>
      <c r="I20" s="6">
        <f t="shared" si="1"/>
        <v>1</v>
      </c>
      <c r="J20" s="6">
        <v>0.19580078125</v>
      </c>
    </row>
    <row r="21" spans="2:10">
      <c r="B21" s="6">
        <v>0.1</v>
      </c>
      <c r="C21" s="6">
        <v>54</v>
      </c>
      <c r="D21" s="6">
        <f t="shared" si="0"/>
        <v>3.9881831610044313E-2</v>
      </c>
      <c r="E21" s="6">
        <v>6226.5925925925922</v>
      </c>
      <c r="G21" s="6">
        <v>0.1</v>
      </c>
      <c r="H21" s="6">
        <v>4096</v>
      </c>
      <c r="I21" s="6">
        <f t="shared" si="1"/>
        <v>1</v>
      </c>
      <c r="J21" s="6">
        <v>0.220947265625</v>
      </c>
    </row>
    <row r="22" spans="2:10">
      <c r="B22" s="6">
        <v>0.15</v>
      </c>
      <c r="C22" s="6">
        <v>41</v>
      </c>
      <c r="D22" s="6">
        <f t="shared" si="0"/>
        <v>3.0280649926144758E-2</v>
      </c>
      <c r="E22" s="6">
        <v>8470.0243902439033</v>
      </c>
      <c r="G22" s="6">
        <v>0.15</v>
      </c>
      <c r="H22" s="6">
        <v>4096</v>
      </c>
      <c r="I22" s="6">
        <f t="shared" si="1"/>
        <v>1</v>
      </c>
      <c r="J22" s="6">
        <v>0.27978515625</v>
      </c>
    </row>
    <row r="23" spans="2:10">
      <c r="B23" s="6">
        <v>0.2</v>
      </c>
      <c r="C23" s="6">
        <v>31</v>
      </c>
      <c r="D23" s="6">
        <f t="shared" si="0"/>
        <v>2.2895125553914326E-2</v>
      </c>
      <c r="E23" s="6">
        <v>10952.387096774193</v>
      </c>
      <c r="G23" s="6">
        <v>0.2</v>
      </c>
      <c r="H23" s="6">
        <v>4096</v>
      </c>
      <c r="I23" s="6">
        <f t="shared" si="1"/>
        <v>1</v>
      </c>
      <c r="J23" s="6">
        <v>0.33984375</v>
      </c>
    </row>
    <row r="24" spans="2:10">
      <c r="B24" s="6">
        <v>0.25</v>
      </c>
      <c r="C24" s="6">
        <v>29</v>
      </c>
      <c r="D24" s="6">
        <f t="shared" si="0"/>
        <v>2.1418020679468242E-2</v>
      </c>
      <c r="E24" s="6">
        <v>11884.896551724138</v>
      </c>
      <c r="G24" s="6">
        <v>0.25</v>
      </c>
      <c r="H24" s="6">
        <v>4096</v>
      </c>
      <c r="I24" s="6">
        <f t="shared" si="1"/>
        <v>1</v>
      </c>
      <c r="J24" s="6">
        <v>0.3798828125</v>
      </c>
    </row>
    <row r="25" spans="2:10">
      <c r="B25" s="6">
        <v>0.3</v>
      </c>
      <c r="C25" s="6">
        <v>27</v>
      </c>
      <c r="D25" s="6">
        <f t="shared" si="0"/>
        <v>1.9940915805022157E-2</v>
      </c>
      <c r="E25" s="6">
        <v>14611.962962962964</v>
      </c>
      <c r="G25" s="6">
        <v>0.3</v>
      </c>
      <c r="H25" s="6">
        <v>4096</v>
      </c>
      <c r="I25" s="6">
        <f t="shared" si="1"/>
        <v>1</v>
      </c>
      <c r="J25" s="6">
        <v>0.44677734375</v>
      </c>
    </row>
    <row r="26" spans="2:10">
      <c r="B26" s="6">
        <v>0.33</v>
      </c>
      <c r="C26" s="6">
        <v>23</v>
      </c>
      <c r="D26" s="6">
        <f t="shared" si="0"/>
        <v>1.6986706056129987E-2</v>
      </c>
      <c r="E26" s="6">
        <v>16533.956521739132</v>
      </c>
      <c r="G26" s="6">
        <v>0.33</v>
      </c>
      <c r="H26" s="6">
        <v>4096</v>
      </c>
      <c r="I26" s="6">
        <f t="shared" si="1"/>
        <v>1</v>
      </c>
      <c r="J26" s="6">
        <v>0.48583984375</v>
      </c>
    </row>
    <row r="27" spans="2:10">
      <c r="B27" s="6">
        <v>0.35</v>
      </c>
      <c r="C27" s="6">
        <v>18</v>
      </c>
      <c r="D27" s="6">
        <f t="shared" si="0"/>
        <v>1.3293943870014771E-2</v>
      </c>
      <c r="E27" s="6">
        <v>19882.944444444445</v>
      </c>
      <c r="G27" s="6">
        <v>0.35</v>
      </c>
      <c r="H27" s="6">
        <v>4096</v>
      </c>
      <c r="I27" s="6">
        <f t="shared" si="1"/>
        <v>1</v>
      </c>
      <c r="J27" s="6">
        <v>0.536865234375</v>
      </c>
    </row>
    <row r="28" spans="2:10">
      <c r="B28" s="6">
        <v>0.4</v>
      </c>
      <c r="C28" s="6">
        <v>14</v>
      </c>
      <c r="D28" s="6">
        <f t="shared" si="0"/>
        <v>1.03397341211226E-2</v>
      </c>
      <c r="E28" s="6">
        <v>24359.5</v>
      </c>
      <c r="G28" s="6">
        <v>0.4</v>
      </c>
      <c r="H28" s="6">
        <v>4096</v>
      </c>
      <c r="I28" s="6">
        <f t="shared" si="1"/>
        <v>1</v>
      </c>
      <c r="J28" s="6">
        <v>0.620849609375</v>
      </c>
    </row>
    <row r="29" spans="2:10">
      <c r="B29" s="6">
        <v>0.43</v>
      </c>
      <c r="C29" s="6">
        <v>11</v>
      </c>
      <c r="D29" s="6">
        <f t="shared" si="0"/>
        <v>8.1240768094534704E-3</v>
      </c>
      <c r="E29" s="6">
        <v>33378.727272727272</v>
      </c>
      <c r="G29" s="6">
        <v>0.43</v>
      </c>
      <c r="H29" s="6">
        <v>4096</v>
      </c>
      <c r="I29" s="6">
        <f t="shared" si="1"/>
        <v>1</v>
      </c>
      <c r="J29" s="6">
        <v>0.73583984375</v>
      </c>
    </row>
    <row r="30" spans="2:10">
      <c r="B30" s="6">
        <v>0.47</v>
      </c>
      <c r="C30" s="6">
        <v>9</v>
      </c>
      <c r="D30" s="6">
        <f t="shared" si="0"/>
        <v>6.6469719350073855E-3</v>
      </c>
      <c r="E30" s="6">
        <v>42292.777777777781</v>
      </c>
      <c r="G30" s="6">
        <v>0.47</v>
      </c>
      <c r="H30" s="6">
        <v>4096</v>
      </c>
      <c r="I30" s="6">
        <f t="shared" si="1"/>
        <v>1</v>
      </c>
      <c r="J30" s="6">
        <v>0.830810546875</v>
      </c>
    </row>
    <row r="31" spans="2:10">
      <c r="B31" s="6">
        <v>0.5</v>
      </c>
      <c r="C31" s="6">
        <v>8</v>
      </c>
      <c r="D31" s="6">
        <f t="shared" si="0"/>
        <v>5.9084194977843431E-3</v>
      </c>
      <c r="E31" s="6">
        <v>52978.75</v>
      </c>
      <c r="G31" s="6">
        <v>0.5</v>
      </c>
      <c r="H31" s="6">
        <v>4096</v>
      </c>
      <c r="I31" s="6">
        <f t="shared" si="1"/>
        <v>1</v>
      </c>
      <c r="J31" s="6">
        <v>0.933837890625</v>
      </c>
    </row>
    <row r="32" spans="2:10">
      <c r="B32" s="6">
        <v>0.53</v>
      </c>
      <c r="C32" s="6">
        <v>6</v>
      </c>
      <c r="D32" s="6">
        <f t="shared" si="0"/>
        <v>4.4313146233382573E-3</v>
      </c>
      <c r="E32" s="6">
        <v>74420.833333333328</v>
      </c>
      <c r="G32" s="6">
        <v>0.53</v>
      </c>
      <c r="H32" s="6">
        <v>4096</v>
      </c>
      <c r="I32" s="6">
        <f t="shared" si="1"/>
        <v>1</v>
      </c>
      <c r="J32" s="6">
        <v>1.074951171875</v>
      </c>
    </row>
    <row r="33" spans="2:10">
      <c r="B33" s="6">
        <v>0.56999999999999995</v>
      </c>
      <c r="C33" s="6">
        <v>5</v>
      </c>
      <c r="D33" s="6">
        <f t="shared" si="0"/>
        <v>3.692762186115214E-3</v>
      </c>
      <c r="E33" s="6">
        <v>92077.2</v>
      </c>
      <c r="G33" s="6">
        <v>0.56999999999999995</v>
      </c>
      <c r="H33" s="6">
        <v>4096</v>
      </c>
      <c r="I33" s="6">
        <f t="shared" si="1"/>
        <v>1</v>
      </c>
      <c r="J33" s="6">
        <v>1.173828125</v>
      </c>
    </row>
    <row r="34" spans="2:10">
      <c r="B34" s="6">
        <v>0.6</v>
      </c>
      <c r="C34" s="6">
        <v>3</v>
      </c>
      <c r="D34" s="6">
        <f t="shared" si="0"/>
        <v>2.2156573116691287E-3</v>
      </c>
      <c r="E34" s="6">
        <v>114796</v>
      </c>
      <c r="G34" s="6">
        <v>0.6</v>
      </c>
      <c r="H34" s="6">
        <v>4096</v>
      </c>
      <c r="I34" s="6">
        <f t="shared" si="1"/>
        <v>1</v>
      </c>
      <c r="J34" s="6">
        <v>1.23681640625</v>
      </c>
    </row>
    <row r="35" spans="2:10">
      <c r="B35" s="6">
        <v>0.65</v>
      </c>
      <c r="C35" s="6">
        <v>2</v>
      </c>
      <c r="D35" s="6">
        <f t="shared" si="0"/>
        <v>1.4771048744460858E-3</v>
      </c>
      <c r="E35" s="6">
        <v>153609.5</v>
      </c>
      <c r="G35" s="6">
        <v>0.65</v>
      </c>
      <c r="H35" s="6">
        <v>4096</v>
      </c>
      <c r="I35" s="6">
        <f t="shared" si="1"/>
        <v>1</v>
      </c>
      <c r="J35" s="6">
        <v>1.2998046875</v>
      </c>
    </row>
    <row r="36" spans="2:10">
      <c r="B36" s="6">
        <v>0.7</v>
      </c>
      <c r="C36" s="6">
        <v>1</v>
      </c>
      <c r="D36" s="6">
        <f t="shared" si="0"/>
        <v>7.3855243722304289E-4</v>
      </c>
      <c r="E36" s="6">
        <v>231229</v>
      </c>
      <c r="G36" s="6">
        <v>0.7</v>
      </c>
      <c r="H36" s="6">
        <v>4096</v>
      </c>
      <c r="I36" s="6">
        <f t="shared" si="1"/>
        <v>1</v>
      </c>
      <c r="J36" s="6">
        <v>1.351806640625</v>
      </c>
    </row>
    <row r="37" spans="2:10">
      <c r="B37" s="8">
        <v>0.8</v>
      </c>
      <c r="C37" s="8">
        <v>0</v>
      </c>
      <c r="D37" s="8">
        <f t="shared" si="0"/>
        <v>0</v>
      </c>
      <c r="E37" s="8" t="s">
        <v>26</v>
      </c>
      <c r="F37" s="8"/>
      <c r="G37" s="8">
        <v>0.8</v>
      </c>
      <c r="H37" s="8">
        <v>4096</v>
      </c>
      <c r="I37" s="8">
        <f t="shared" si="1"/>
        <v>1</v>
      </c>
      <c r="J37" s="8">
        <v>1.86</v>
      </c>
    </row>
    <row r="38" spans="2:10">
      <c r="B38" s="8">
        <v>0.9</v>
      </c>
      <c r="C38" s="8">
        <v>0</v>
      </c>
      <c r="D38" s="8">
        <f t="shared" si="0"/>
        <v>0</v>
      </c>
      <c r="E38" s="8" t="s">
        <v>26</v>
      </c>
      <c r="F38" s="8"/>
      <c r="G38" s="8">
        <v>0.9</v>
      </c>
      <c r="H38" s="8">
        <v>4096</v>
      </c>
      <c r="I38" s="8">
        <f t="shared" si="1"/>
        <v>1</v>
      </c>
      <c r="J38" s="8">
        <v>2.702</v>
      </c>
    </row>
    <row r="39" spans="2:10">
      <c r="B39" s="8">
        <v>0.95</v>
      </c>
      <c r="C39" s="8">
        <v>0</v>
      </c>
      <c r="D39" s="8">
        <f t="shared" si="0"/>
        <v>0</v>
      </c>
      <c r="E39" s="8" t="s">
        <v>26</v>
      </c>
      <c r="F39" s="8"/>
      <c r="G39" s="8">
        <v>0.95</v>
      </c>
      <c r="H39" s="8">
        <v>4096</v>
      </c>
      <c r="I39" s="8">
        <f t="shared" si="1"/>
        <v>1</v>
      </c>
      <c r="J39" s="8">
        <v>3.79</v>
      </c>
    </row>
    <row r="40" spans="2:10">
      <c r="B40" s="6">
        <v>0.99</v>
      </c>
      <c r="C40" s="6">
        <v>0</v>
      </c>
      <c r="D40" s="6">
        <f t="shared" si="0"/>
        <v>0</v>
      </c>
      <c r="E40" s="6" t="s">
        <v>26</v>
      </c>
      <c r="G40" s="6">
        <v>0.99</v>
      </c>
      <c r="H40" s="6">
        <v>3892</v>
      </c>
      <c r="I40" s="6">
        <f t="shared" si="1"/>
        <v>0.9501953125</v>
      </c>
      <c r="J40" s="6">
        <v>11.374000000000001</v>
      </c>
    </row>
    <row r="41" spans="2:10">
      <c r="B41" s="6">
        <v>0.999</v>
      </c>
      <c r="C41" s="6">
        <v>0</v>
      </c>
      <c r="D41" s="6">
        <f t="shared" si="0"/>
        <v>0</v>
      </c>
      <c r="E41" s="6" t="s">
        <v>26</v>
      </c>
      <c r="G41" s="6">
        <v>0.999</v>
      </c>
      <c r="H41" s="6">
        <v>455</v>
      </c>
      <c r="I41" s="6">
        <f t="shared" si="1"/>
        <v>0.111083984375</v>
      </c>
      <c r="J41" s="6">
        <v>76.09</v>
      </c>
    </row>
    <row r="42" spans="2:10">
      <c r="B42" s="6">
        <v>0.99199999999999999</v>
      </c>
      <c r="C42" s="6">
        <v>0</v>
      </c>
      <c r="D42" s="6">
        <f t="shared" si="0"/>
        <v>0</v>
      </c>
      <c r="E42" s="6" t="s">
        <v>26</v>
      </c>
      <c r="G42" s="6">
        <v>0.99199999999999999</v>
      </c>
      <c r="H42" s="6">
        <v>3748</v>
      </c>
      <c r="I42" s="6">
        <f t="shared" si="1"/>
        <v>0.9150390625</v>
      </c>
      <c r="J42" s="6">
        <v>14.045999999999999</v>
      </c>
    </row>
    <row r="43" spans="2:10">
      <c r="B43" s="6">
        <v>0.99299999999999999</v>
      </c>
      <c r="C43" s="6">
        <v>0</v>
      </c>
      <c r="D43" s="6">
        <f t="shared" si="0"/>
        <v>0</v>
      </c>
      <c r="E43" s="6" t="s">
        <v>26</v>
      </c>
      <c r="G43" s="6">
        <v>0.99299999999999999</v>
      </c>
      <c r="H43" s="6">
        <v>3564</v>
      </c>
      <c r="I43" s="6">
        <f t="shared" si="1"/>
        <v>0.8701171875</v>
      </c>
      <c r="J43" s="6">
        <v>12.273999999999999</v>
      </c>
    </row>
    <row r="44" spans="2:10">
      <c r="B44" s="6">
        <v>0.99399999999999999</v>
      </c>
      <c r="C44" s="6">
        <v>0</v>
      </c>
      <c r="D44" s="6">
        <f t="shared" si="0"/>
        <v>0</v>
      </c>
      <c r="E44" s="6" t="s">
        <v>26</v>
      </c>
      <c r="G44" s="6">
        <v>0.99399999999999999</v>
      </c>
      <c r="H44" s="6">
        <v>3412</v>
      </c>
      <c r="I44" s="6">
        <f t="shared" si="1"/>
        <v>0.8330078125</v>
      </c>
      <c r="J44" s="6">
        <v>8.9770000000000003</v>
      </c>
    </row>
    <row r="45" spans="2:10">
      <c r="B45" s="6">
        <v>0.995</v>
      </c>
      <c r="C45" s="6">
        <v>0</v>
      </c>
      <c r="D45" s="6">
        <f t="shared" si="0"/>
        <v>0</v>
      </c>
      <c r="E45" s="6" t="s">
        <v>26</v>
      </c>
      <c r="G45" s="6">
        <v>0.995</v>
      </c>
      <c r="H45" s="6">
        <v>3297</v>
      </c>
      <c r="I45" s="6">
        <f t="shared" si="1"/>
        <v>0.804931640625</v>
      </c>
      <c r="J45" s="6">
        <v>7.0979999999999999</v>
      </c>
    </row>
    <row r="46" spans="2:10">
      <c r="B46" s="6">
        <v>0.996</v>
      </c>
      <c r="C46" s="6">
        <v>0</v>
      </c>
      <c r="D46" s="6">
        <f t="shared" si="0"/>
        <v>0</v>
      </c>
      <c r="E46" s="6" t="s">
        <v>26</v>
      </c>
      <c r="G46" s="6">
        <v>0.996</v>
      </c>
      <c r="H46" s="6">
        <v>3236</v>
      </c>
      <c r="I46" s="6">
        <f t="shared" si="1"/>
        <v>0.7900390625</v>
      </c>
      <c r="J46" s="6">
        <v>7.0410000000000004</v>
      </c>
    </row>
    <row r="47" spans="2:10">
      <c r="B47" s="6">
        <v>0.99650000000000005</v>
      </c>
      <c r="C47" s="6">
        <v>0</v>
      </c>
      <c r="D47" s="6">
        <f t="shared" si="0"/>
        <v>0</v>
      </c>
      <c r="E47" s="6" t="s">
        <v>26</v>
      </c>
      <c r="G47" s="6">
        <v>0.99650000000000005</v>
      </c>
      <c r="H47" s="6">
        <v>3185</v>
      </c>
      <c r="I47" s="6">
        <f t="shared" si="1"/>
        <v>0.777587890625</v>
      </c>
      <c r="J47" s="6">
        <v>7.8289999999999997</v>
      </c>
    </row>
    <row r="48" spans="2:10">
      <c r="B48" s="6">
        <v>0.99670000000000003</v>
      </c>
      <c r="C48" s="6">
        <v>0</v>
      </c>
      <c r="D48" s="6">
        <f t="shared" si="0"/>
        <v>0</v>
      </c>
      <c r="E48" s="6" t="s">
        <v>26</v>
      </c>
      <c r="G48" s="6">
        <v>0.99670000000000003</v>
      </c>
      <c r="H48" s="6">
        <v>3156</v>
      </c>
      <c r="I48" s="6">
        <f t="shared" si="1"/>
        <v>0.7705078125</v>
      </c>
      <c r="J48" s="6">
        <v>7.7850000000000001</v>
      </c>
    </row>
    <row r="49" spans="2:10">
      <c r="B49" s="6">
        <v>0.997</v>
      </c>
      <c r="C49" s="6">
        <v>0</v>
      </c>
      <c r="D49" s="6">
        <f t="shared" si="0"/>
        <v>0</v>
      </c>
      <c r="E49" s="6" t="s">
        <v>26</v>
      </c>
      <c r="G49" s="6">
        <v>0.997</v>
      </c>
      <c r="H49" s="6">
        <v>3114</v>
      </c>
      <c r="I49" s="6">
        <f t="shared" si="1"/>
        <v>0.76025390625</v>
      </c>
      <c r="J49" s="6">
        <v>7.2709999999999999</v>
      </c>
    </row>
    <row r="50" spans="2:10">
      <c r="D50" s="6">
        <v>0</v>
      </c>
      <c r="I50" s="6"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Y174"/>
  <sheetViews>
    <sheetView topLeftCell="A29" zoomScaleNormal="100" workbookViewId="0">
      <selection activeCell="J73" sqref="J73"/>
    </sheetView>
  </sheetViews>
  <sheetFormatPr defaultColWidth="8.5" defaultRowHeight="15"/>
  <cols>
    <col min="1" max="1" width="8.5" style="6"/>
    <col min="2" max="2" width="8.5" style="7"/>
    <col min="3" max="16384" width="8.5" style="6"/>
  </cols>
  <sheetData>
    <row r="5" spans="1:25">
      <c r="A5" s="9" t="s">
        <v>38</v>
      </c>
      <c r="B5" s="10">
        <v>0.25</v>
      </c>
    </row>
    <row r="6" spans="1:25">
      <c r="A6" s="11" t="s">
        <v>39</v>
      </c>
      <c r="B6" s="12">
        <v>0.25</v>
      </c>
    </row>
    <row r="7" spans="1:25">
      <c r="A7" s="13" t="s">
        <v>45</v>
      </c>
      <c r="B7" s="14">
        <v>0.5</v>
      </c>
    </row>
    <row r="8" spans="1:25">
      <c r="X8" s="18" t="s">
        <v>47</v>
      </c>
    </row>
    <row r="9" spans="1:25" s="16" customFormat="1" ht="21">
      <c r="B9" s="17" t="s">
        <v>32</v>
      </c>
      <c r="D9" s="16" t="s">
        <v>27</v>
      </c>
      <c r="I9" s="16" t="s">
        <v>30</v>
      </c>
      <c r="N9" s="16" t="s">
        <v>40</v>
      </c>
      <c r="S9" s="16" t="s">
        <v>70</v>
      </c>
      <c r="X9" s="16" t="s">
        <v>46</v>
      </c>
    </row>
    <row r="10" spans="1:25">
      <c r="A10" s="6" t="s">
        <v>33</v>
      </c>
      <c r="B10" s="7">
        <v>0</v>
      </c>
      <c r="D10" s="15"/>
      <c r="E10" s="11"/>
      <c r="F10" s="13"/>
      <c r="G10" s="13"/>
      <c r="I10" s="15"/>
      <c r="J10" s="11"/>
      <c r="K10" s="13"/>
      <c r="L10" s="13"/>
      <c r="N10" s="15"/>
      <c r="O10" s="11"/>
      <c r="P10" s="13"/>
      <c r="Q10" s="13"/>
      <c r="S10" s="15"/>
      <c r="T10" s="11"/>
      <c r="U10" s="13"/>
      <c r="V10" s="13"/>
      <c r="X10" s="6" t="s">
        <v>48</v>
      </c>
    </row>
    <row r="11" spans="1:25">
      <c r="A11" s="6" t="s">
        <v>33</v>
      </c>
      <c r="B11" s="7" t="s">
        <v>35</v>
      </c>
      <c r="D11" s="15"/>
      <c r="E11" s="11"/>
      <c r="F11" s="13"/>
      <c r="G11" s="13"/>
      <c r="I11" s="15"/>
      <c r="J11" s="11"/>
      <c r="K11" s="13"/>
      <c r="L11" s="13"/>
      <c r="N11" s="15"/>
      <c r="O11" s="11"/>
      <c r="P11" s="13"/>
      <c r="Q11" s="13"/>
      <c r="S11" s="15"/>
      <c r="T11" s="11"/>
      <c r="U11" s="13"/>
      <c r="V11" s="13"/>
      <c r="X11" s="6">
        <v>0</v>
      </c>
      <c r="Y11" s="6" t="s">
        <v>49</v>
      </c>
    </row>
    <row r="12" spans="1:25">
      <c r="A12" s="6" t="s">
        <v>33</v>
      </c>
      <c r="B12" s="7" t="s">
        <v>35</v>
      </c>
      <c r="D12" s="15"/>
      <c r="E12" s="11"/>
      <c r="F12" s="13"/>
      <c r="G12" s="13"/>
      <c r="I12" s="15"/>
      <c r="J12" s="11"/>
      <c r="K12" s="13"/>
      <c r="L12" s="13"/>
      <c r="N12" s="15"/>
      <c r="O12" s="11"/>
      <c r="P12" s="13"/>
      <c r="Q12" s="13"/>
      <c r="S12" s="15"/>
      <c r="T12" s="11"/>
      <c r="U12" s="13"/>
      <c r="V12" s="13"/>
      <c r="X12" s="6">
        <v>1</v>
      </c>
      <c r="Y12" s="6" t="s">
        <v>50</v>
      </c>
    </row>
    <row r="13" spans="1:25">
      <c r="A13" s="6" t="s">
        <v>33</v>
      </c>
      <c r="B13" s="7">
        <v>7</v>
      </c>
      <c r="D13" s="15"/>
      <c r="E13" s="11"/>
      <c r="F13" s="13"/>
      <c r="G13" s="13"/>
      <c r="I13" s="15"/>
      <c r="J13" s="11"/>
      <c r="K13" s="13"/>
      <c r="L13" s="13"/>
      <c r="N13" s="15"/>
      <c r="O13" s="11"/>
      <c r="P13" s="13"/>
      <c r="Q13" s="13"/>
      <c r="S13" s="15"/>
      <c r="T13" s="11"/>
      <c r="U13" s="13"/>
      <c r="V13" s="13"/>
      <c r="X13" s="6">
        <v>2</v>
      </c>
      <c r="Y13" s="6" t="s">
        <v>51</v>
      </c>
    </row>
    <row r="14" spans="1:25">
      <c r="X14" s="6">
        <v>3</v>
      </c>
      <c r="Y14" s="6" t="s">
        <v>52</v>
      </c>
    </row>
    <row r="15" spans="1:25">
      <c r="A15" s="6" t="s">
        <v>34</v>
      </c>
      <c r="B15" s="7">
        <v>0</v>
      </c>
      <c r="D15" s="15"/>
      <c r="E15" s="11"/>
      <c r="F15" s="13"/>
      <c r="G15" s="13"/>
      <c r="I15" s="15"/>
      <c r="J15" s="15"/>
      <c r="K15" s="11"/>
      <c r="L15" s="11"/>
      <c r="N15" s="15"/>
      <c r="O15" s="15"/>
      <c r="P15" s="11"/>
      <c r="Q15" s="11"/>
      <c r="X15" s="6">
        <v>4</v>
      </c>
      <c r="Y15" s="6" t="s">
        <v>53</v>
      </c>
    </row>
    <row r="16" spans="1:25">
      <c r="A16" s="6" t="s">
        <v>34</v>
      </c>
      <c r="B16" s="7" t="s">
        <v>35</v>
      </c>
      <c r="D16" s="15"/>
      <c r="E16" s="11"/>
      <c r="F16" s="13"/>
      <c r="G16" s="13"/>
      <c r="I16" s="15"/>
      <c r="J16" s="15"/>
      <c r="K16" s="11"/>
      <c r="L16" s="11"/>
      <c r="N16" s="13"/>
      <c r="O16" s="13"/>
      <c r="P16" s="13"/>
      <c r="Q16" s="13"/>
      <c r="X16" s="6">
        <v>5</v>
      </c>
      <c r="Y16" s="6" t="s">
        <v>68</v>
      </c>
    </row>
    <row r="17" spans="1:25">
      <c r="A17" s="6" t="s">
        <v>34</v>
      </c>
      <c r="B17" s="7" t="s">
        <v>35</v>
      </c>
      <c r="D17" s="15"/>
      <c r="E17" s="11"/>
      <c r="F17" s="13"/>
      <c r="G17" s="13"/>
      <c r="I17" s="15"/>
      <c r="J17" s="15"/>
      <c r="K17" s="11"/>
      <c r="L17" s="11"/>
      <c r="N17" s="15"/>
      <c r="O17" s="15"/>
      <c r="P17" s="11"/>
      <c r="Q17" s="11"/>
    </row>
    <row r="18" spans="1:25">
      <c r="A18" s="6" t="s">
        <v>34</v>
      </c>
      <c r="B18" s="7">
        <v>7</v>
      </c>
      <c r="D18" s="15"/>
      <c r="E18" s="11"/>
      <c r="F18" s="13"/>
      <c r="G18" s="13"/>
      <c r="I18" s="15"/>
      <c r="J18" s="15"/>
      <c r="K18" s="11"/>
      <c r="L18" s="11"/>
      <c r="N18" s="13"/>
      <c r="O18" s="13"/>
      <c r="P18" s="13"/>
      <c r="Q18" s="13"/>
      <c r="X18" s="8" t="s">
        <v>66</v>
      </c>
    </row>
    <row r="19" spans="1:25">
      <c r="Y19" s="6" t="s">
        <v>54</v>
      </c>
    </row>
    <row r="20" spans="1:25">
      <c r="A20" s="6" t="s">
        <v>36</v>
      </c>
      <c r="B20" s="7" t="s">
        <v>36</v>
      </c>
      <c r="S20" s="15"/>
      <c r="T20" s="11"/>
      <c r="U20" s="13"/>
      <c r="V20" s="13"/>
    </row>
    <row r="21" spans="1:25">
      <c r="X21" s="8" t="s">
        <v>67</v>
      </c>
    </row>
    <row r="22" spans="1:25">
      <c r="A22" s="6" t="s">
        <v>37</v>
      </c>
      <c r="B22" s="7">
        <v>0</v>
      </c>
      <c r="D22" s="15"/>
      <c r="E22" s="11"/>
      <c r="F22" s="13"/>
      <c r="G22" s="13"/>
      <c r="I22" s="13"/>
      <c r="J22" s="13"/>
      <c r="K22" s="13"/>
      <c r="L22" s="13"/>
      <c r="N22" s="15"/>
      <c r="O22" s="15"/>
      <c r="P22" s="11"/>
      <c r="Q22" s="11"/>
      <c r="Y22" s="8" t="s">
        <v>55</v>
      </c>
    </row>
    <row r="23" spans="1:25">
      <c r="A23" s="6" t="s">
        <v>37</v>
      </c>
      <c r="B23" s="7" t="s">
        <v>35</v>
      </c>
      <c r="D23" s="15"/>
      <c r="E23" s="11"/>
      <c r="F23" s="13"/>
      <c r="G23" s="13"/>
      <c r="I23" s="13"/>
      <c r="J23" s="13"/>
      <c r="K23" s="13"/>
      <c r="L23" s="13"/>
      <c r="N23" s="13"/>
      <c r="O23" s="13"/>
      <c r="P23" s="13"/>
      <c r="Q23" s="13"/>
      <c r="X23" s="6">
        <v>0</v>
      </c>
      <c r="Y23" s="6" t="s">
        <v>56</v>
      </c>
    </row>
    <row r="24" spans="1:25">
      <c r="A24" s="6" t="s">
        <v>37</v>
      </c>
      <c r="B24" s="7" t="s">
        <v>35</v>
      </c>
      <c r="D24" s="15"/>
      <c r="E24" s="11"/>
      <c r="F24" s="13"/>
      <c r="G24" s="13"/>
      <c r="I24" s="13"/>
      <c r="J24" s="13"/>
      <c r="K24" s="13"/>
      <c r="L24" s="13"/>
      <c r="N24" s="15"/>
      <c r="O24" s="15"/>
      <c r="P24" s="11"/>
      <c r="Q24" s="11"/>
      <c r="X24" s="6">
        <v>1</v>
      </c>
      <c r="Y24" s="6" t="s">
        <v>57</v>
      </c>
    </row>
    <row r="25" spans="1:25">
      <c r="A25" s="6" t="s">
        <v>37</v>
      </c>
      <c r="B25" s="7">
        <v>7</v>
      </c>
      <c r="D25" s="15"/>
      <c r="E25" s="11"/>
      <c r="F25" s="13"/>
      <c r="G25" s="13"/>
      <c r="I25" s="13"/>
      <c r="J25" s="13"/>
      <c r="K25" s="13"/>
      <c r="L25" s="13"/>
      <c r="N25" s="13"/>
      <c r="O25" s="13"/>
      <c r="P25" s="13"/>
      <c r="Q25" s="13"/>
      <c r="X25" s="6">
        <v>2</v>
      </c>
      <c r="Y25" s="6" t="s">
        <v>58</v>
      </c>
    </row>
    <row r="26" spans="1:25">
      <c r="X26" s="6">
        <v>3</v>
      </c>
      <c r="Y26" s="6" t="s">
        <v>59</v>
      </c>
    </row>
    <row r="27" spans="1:25">
      <c r="X27" s="6">
        <v>4</v>
      </c>
      <c r="Y27" s="6" t="s">
        <v>60</v>
      </c>
    </row>
    <row r="29" spans="1:25">
      <c r="Y29" s="8" t="s">
        <v>61</v>
      </c>
    </row>
    <row r="30" spans="1:25">
      <c r="X30" s="6">
        <v>5</v>
      </c>
      <c r="Y30" s="6" t="s">
        <v>57</v>
      </c>
    </row>
    <row r="31" spans="1:25">
      <c r="X31" s="6">
        <v>6</v>
      </c>
      <c r="Y31" s="6" t="s">
        <v>62</v>
      </c>
    </row>
    <row r="32" spans="1:25">
      <c r="X32" s="6">
        <v>7</v>
      </c>
      <c r="Y32" s="6" t="s">
        <v>63</v>
      </c>
    </row>
    <row r="33" spans="24:25">
      <c r="X33" s="6">
        <v>8</v>
      </c>
      <c r="Y33" s="6" t="s">
        <v>65</v>
      </c>
    </row>
    <row r="34" spans="24:25">
      <c r="X34" s="6">
        <v>9</v>
      </c>
      <c r="Y34" s="6" t="s">
        <v>64</v>
      </c>
    </row>
    <row r="49" spans="4:23" ht="21">
      <c r="D49" s="19" t="s">
        <v>27</v>
      </c>
      <c r="E49" s="16"/>
      <c r="F49" s="16"/>
      <c r="G49" s="16"/>
      <c r="H49" s="16"/>
      <c r="I49" s="20" t="s">
        <v>30</v>
      </c>
      <c r="J49" s="16"/>
      <c r="K49" s="16"/>
      <c r="L49" s="16"/>
      <c r="M49" s="16"/>
      <c r="N49" s="21" t="s">
        <v>40</v>
      </c>
      <c r="S49" s="22" t="s">
        <v>70</v>
      </c>
      <c r="T49" s="16"/>
      <c r="U49" s="16"/>
      <c r="V49" s="16"/>
      <c r="W49" s="16"/>
    </row>
    <row r="50" spans="4:23">
      <c r="D50" s="6" t="s">
        <v>28</v>
      </c>
      <c r="E50" s="7"/>
      <c r="I50" s="6" t="s">
        <v>28</v>
      </c>
      <c r="N50" s="6" t="s">
        <v>28</v>
      </c>
      <c r="S50" s="6" t="s">
        <v>69</v>
      </c>
      <c r="T50" s="7"/>
    </row>
    <row r="51" spans="4:23">
      <c r="D51" s="6" t="s">
        <v>29</v>
      </c>
      <c r="E51" s="7"/>
      <c r="I51" s="6" t="s">
        <v>29</v>
      </c>
      <c r="N51" s="6" t="s">
        <v>31</v>
      </c>
      <c r="S51" s="6" t="s">
        <v>29</v>
      </c>
      <c r="T51" s="7"/>
    </row>
    <row r="52" spans="4:23">
      <c r="E52" s="7"/>
      <c r="T52" s="7"/>
    </row>
    <row r="53" spans="4:23">
      <c r="D53" s="6" t="s">
        <v>41</v>
      </c>
      <c r="E53" s="7" t="s">
        <v>42</v>
      </c>
      <c r="F53" s="6" t="s">
        <v>43</v>
      </c>
      <c r="G53" s="6" t="s">
        <v>44</v>
      </c>
      <c r="I53" s="6" t="s">
        <v>41</v>
      </c>
      <c r="J53" s="7" t="s">
        <v>42</v>
      </c>
      <c r="K53" s="6" t="s">
        <v>43</v>
      </c>
      <c r="L53" s="6" t="s">
        <v>44</v>
      </c>
      <c r="N53" s="6" t="s">
        <v>41</v>
      </c>
      <c r="O53" s="7" t="s">
        <v>42</v>
      </c>
      <c r="P53" s="6" t="s">
        <v>43</v>
      </c>
      <c r="Q53" s="6" t="s">
        <v>44</v>
      </c>
      <c r="S53" s="6" t="s">
        <v>1</v>
      </c>
      <c r="T53" s="7" t="s">
        <v>2</v>
      </c>
      <c r="U53" s="6" t="s">
        <v>43</v>
      </c>
      <c r="V53" s="6" t="s">
        <v>44</v>
      </c>
    </row>
    <row r="54" spans="4:23">
      <c r="D54" s="6">
        <v>0.01</v>
      </c>
      <c r="E54" s="6">
        <v>0</v>
      </c>
      <c r="F54" s="6">
        <v>218</v>
      </c>
      <c r="G54" s="6">
        <v>749.39400000000001</v>
      </c>
      <c r="I54" s="6">
        <v>0.1</v>
      </c>
      <c r="J54" s="6">
        <v>0.03</v>
      </c>
      <c r="K54" s="6">
        <v>49</v>
      </c>
      <c r="L54" s="6">
        <v>3347.837</v>
      </c>
      <c r="N54" s="6">
        <v>0.1</v>
      </c>
      <c r="O54" s="6">
        <v>1.9E-2</v>
      </c>
      <c r="P54" s="6">
        <v>922</v>
      </c>
      <c r="Q54" s="6">
        <v>170.5</v>
      </c>
      <c r="S54" s="6">
        <v>0.01</v>
      </c>
      <c r="T54" s="6">
        <v>0</v>
      </c>
      <c r="U54" s="6">
        <v>225</v>
      </c>
      <c r="V54" s="6">
        <v>725.95600000000002</v>
      </c>
    </row>
    <row r="55" spans="4:23">
      <c r="D55" s="6">
        <v>0.02</v>
      </c>
      <c r="E55" s="6">
        <v>0</v>
      </c>
      <c r="F55" s="6">
        <v>124</v>
      </c>
      <c r="G55" s="6">
        <v>1320.5160000000001</v>
      </c>
      <c r="I55" s="6">
        <v>0.2</v>
      </c>
      <c r="J55" s="6">
        <v>4.2000000000000003E-2</v>
      </c>
      <c r="K55" s="6">
        <v>22</v>
      </c>
      <c r="L55" s="6">
        <v>7461.4549999999999</v>
      </c>
      <c r="N55" s="6">
        <v>0.2</v>
      </c>
      <c r="O55" s="6">
        <v>0.20899999999999999</v>
      </c>
      <c r="P55" s="6">
        <v>888</v>
      </c>
      <c r="Q55" s="6">
        <v>177.18100000000001</v>
      </c>
      <c r="S55" s="6">
        <v>0.1</v>
      </c>
      <c r="T55" s="6">
        <v>1E-3</v>
      </c>
      <c r="U55" s="6">
        <v>75</v>
      </c>
      <c r="V55" s="6">
        <v>2185.8670000000002</v>
      </c>
    </row>
    <row r="56" spans="4:23">
      <c r="D56" s="6">
        <v>0.03</v>
      </c>
      <c r="E56" s="6">
        <v>1E-3</v>
      </c>
      <c r="F56" s="6">
        <v>86</v>
      </c>
      <c r="G56" s="6">
        <v>1905.7670000000001</v>
      </c>
      <c r="I56" s="6">
        <v>0.3</v>
      </c>
      <c r="J56" s="6">
        <v>8.3000000000000004E-2</v>
      </c>
      <c r="K56" s="6">
        <v>18</v>
      </c>
      <c r="L56" s="6">
        <v>9120.4439999999995</v>
      </c>
      <c r="N56" s="6">
        <v>0.3</v>
      </c>
      <c r="O56" s="6">
        <v>0.32600000000000001</v>
      </c>
      <c r="P56" s="6">
        <v>872</v>
      </c>
      <c r="Q56" s="6">
        <v>180.506</v>
      </c>
      <c r="S56" s="6">
        <v>0.12</v>
      </c>
      <c r="T56" s="6">
        <v>1E-3</v>
      </c>
      <c r="U56" s="6">
        <v>59</v>
      </c>
      <c r="V56" s="6">
        <v>2779.7289999999998</v>
      </c>
    </row>
    <row r="57" spans="4:23">
      <c r="D57" s="6">
        <v>0.04</v>
      </c>
      <c r="E57" s="6">
        <v>1E-3</v>
      </c>
      <c r="F57" s="6">
        <v>65</v>
      </c>
      <c r="G57" s="6">
        <v>2522.7689999999998</v>
      </c>
      <c r="I57" s="6">
        <v>0.35</v>
      </c>
      <c r="J57" s="6">
        <v>9.0999999999999998E-2</v>
      </c>
      <c r="K57" s="6">
        <v>13</v>
      </c>
      <c r="L57" s="6">
        <v>12629.846</v>
      </c>
      <c r="N57" s="6">
        <v>0.5</v>
      </c>
      <c r="O57" s="6">
        <v>0.64200000000000002</v>
      </c>
      <c r="P57" s="6">
        <v>857</v>
      </c>
      <c r="Q57" s="6">
        <v>183.73500000000001</v>
      </c>
      <c r="S57" s="6">
        <v>0.14000000000000001</v>
      </c>
      <c r="T57" s="6">
        <v>2E-3</v>
      </c>
      <c r="U57" s="6">
        <v>53</v>
      </c>
      <c r="V57" s="6">
        <v>3094.8679999999999</v>
      </c>
    </row>
    <row r="58" spans="4:23">
      <c r="D58" s="6">
        <v>0.05</v>
      </c>
      <c r="E58" s="6">
        <v>1E-3</v>
      </c>
      <c r="F58" s="6">
        <v>56</v>
      </c>
      <c r="G58" s="6">
        <v>2928.857</v>
      </c>
      <c r="I58" s="6">
        <v>0.4</v>
      </c>
      <c r="J58" s="6">
        <v>0.108</v>
      </c>
      <c r="K58" s="6">
        <v>12</v>
      </c>
      <c r="L58" s="6">
        <v>13682.666999999999</v>
      </c>
      <c r="N58" s="6">
        <v>0.7</v>
      </c>
      <c r="O58" s="6">
        <v>1.46</v>
      </c>
      <c r="P58" s="6">
        <v>837</v>
      </c>
      <c r="Q58" s="6">
        <v>188.221</v>
      </c>
      <c r="S58" s="6">
        <v>0.16</v>
      </c>
      <c r="T58" s="6">
        <v>1.4999999999999999E-2</v>
      </c>
      <c r="U58" s="6">
        <v>44</v>
      </c>
      <c r="V58" s="6">
        <v>3728.7269999999999</v>
      </c>
    </row>
    <row r="59" spans="4:23">
      <c r="D59" s="6">
        <v>0.06</v>
      </c>
      <c r="E59" s="6">
        <v>3.0000000000000001E-3</v>
      </c>
      <c r="F59" s="6">
        <v>50</v>
      </c>
      <c r="G59" s="6">
        <v>3280.8</v>
      </c>
      <c r="I59" s="6">
        <v>0.45</v>
      </c>
      <c r="J59" s="6">
        <v>0.23699999999999999</v>
      </c>
      <c r="K59" s="8">
        <v>7</v>
      </c>
      <c r="L59" s="6">
        <v>23458.857</v>
      </c>
      <c r="N59" s="6">
        <v>0.9</v>
      </c>
      <c r="O59" s="6">
        <v>2.7610000000000001</v>
      </c>
      <c r="P59" s="6">
        <v>778</v>
      </c>
      <c r="Q59" s="6">
        <v>202.798</v>
      </c>
      <c r="S59" s="6">
        <v>0.18</v>
      </c>
      <c r="T59" s="6">
        <v>0.03</v>
      </c>
      <c r="U59" s="6">
        <v>42</v>
      </c>
      <c r="V59" s="6">
        <v>3906.4760000000001</v>
      </c>
    </row>
    <row r="60" spans="4:23">
      <c r="D60" s="6">
        <v>7.0000000000000007E-2</v>
      </c>
      <c r="E60" s="6">
        <v>5.0000000000000001E-3</v>
      </c>
      <c r="F60" s="6">
        <v>43</v>
      </c>
      <c r="G60" s="6">
        <v>3815.5349999999999</v>
      </c>
      <c r="I60" s="6">
        <v>0.5</v>
      </c>
      <c r="J60" s="6">
        <v>0.29499999999999998</v>
      </c>
      <c r="K60" s="8">
        <v>6</v>
      </c>
      <c r="L60" s="6">
        <v>27369.332999999999</v>
      </c>
      <c r="N60" s="6">
        <v>0.95</v>
      </c>
      <c r="O60" s="6">
        <v>4.4870000000000001</v>
      </c>
      <c r="P60" s="6">
        <v>704</v>
      </c>
      <c r="Q60" s="6">
        <v>224.536</v>
      </c>
      <c r="S60" s="6">
        <v>0.2</v>
      </c>
      <c r="T60" s="6">
        <v>0.04</v>
      </c>
      <c r="U60" s="6">
        <v>37</v>
      </c>
      <c r="V60" s="6">
        <v>4434.9189999999999</v>
      </c>
    </row>
    <row r="61" spans="4:23">
      <c r="D61" s="6">
        <v>0.08</v>
      </c>
      <c r="E61" s="6">
        <v>8.9999999999999993E-3</v>
      </c>
      <c r="F61" s="6">
        <v>37</v>
      </c>
      <c r="G61" s="6">
        <v>4434.9189999999999</v>
      </c>
      <c r="I61" s="6">
        <v>0.55000000000000004</v>
      </c>
      <c r="J61" s="6">
        <v>0.49</v>
      </c>
      <c r="K61" s="8">
        <v>5</v>
      </c>
      <c r="L61" s="6">
        <v>32844</v>
      </c>
      <c r="N61" s="6">
        <v>0.97</v>
      </c>
      <c r="O61" s="6">
        <v>7.3520000000000003</v>
      </c>
      <c r="P61" s="6">
        <v>620</v>
      </c>
      <c r="Q61" s="6">
        <v>255.49799999999999</v>
      </c>
      <c r="S61" s="6">
        <v>0.25</v>
      </c>
      <c r="T61" s="6">
        <v>0.05</v>
      </c>
      <c r="U61" s="6">
        <v>33</v>
      </c>
      <c r="V61" s="6">
        <v>4972.97</v>
      </c>
    </row>
    <row r="62" spans="4:23">
      <c r="D62" s="6">
        <v>0.09</v>
      </c>
      <c r="E62" s="6">
        <v>1.2E-2</v>
      </c>
      <c r="F62" s="6">
        <v>35</v>
      </c>
      <c r="G62" s="6">
        <v>4688.5709999999999</v>
      </c>
      <c r="I62" s="6">
        <v>0.7</v>
      </c>
      <c r="J62" s="6">
        <v>1.087</v>
      </c>
      <c r="K62" s="8">
        <v>3</v>
      </c>
      <c r="L62" s="6">
        <v>54742.667000000001</v>
      </c>
      <c r="N62" s="6">
        <v>0.98</v>
      </c>
      <c r="O62" s="6">
        <v>9.5429999999999993</v>
      </c>
      <c r="P62" s="6">
        <v>540</v>
      </c>
      <c r="Q62" s="6">
        <v>293.94299999999998</v>
      </c>
      <c r="S62" s="6">
        <v>0.3</v>
      </c>
      <c r="T62" s="6">
        <v>6.2E-2</v>
      </c>
      <c r="U62" s="6">
        <v>29</v>
      </c>
      <c r="V62" s="6">
        <v>5659.4480000000003</v>
      </c>
    </row>
    <row r="63" spans="4:23">
      <c r="D63" s="6">
        <v>0.1</v>
      </c>
      <c r="E63" s="6">
        <v>2.1000000000000001E-2</v>
      </c>
      <c r="F63" s="6">
        <v>33</v>
      </c>
      <c r="G63" s="6">
        <v>4972.97</v>
      </c>
      <c r="I63" s="6">
        <v>0.8</v>
      </c>
      <c r="J63" s="6">
        <v>1.3380000000000001</v>
      </c>
      <c r="K63" s="8">
        <v>2</v>
      </c>
      <c r="L63" s="6">
        <v>82116</v>
      </c>
      <c r="N63" s="6">
        <v>0.98499999999999999</v>
      </c>
      <c r="O63" s="6">
        <v>14.522</v>
      </c>
      <c r="P63" s="6">
        <v>481</v>
      </c>
      <c r="Q63" s="6">
        <v>330.48899999999998</v>
      </c>
      <c r="S63" s="6">
        <v>0.35</v>
      </c>
      <c r="T63" s="6">
        <v>7.8E-2</v>
      </c>
      <c r="U63" s="6">
        <v>23</v>
      </c>
      <c r="V63" s="6">
        <v>7136.87</v>
      </c>
    </row>
    <row r="64" spans="4:23">
      <c r="D64" s="6">
        <v>0.12</v>
      </c>
      <c r="E64" s="6">
        <v>3.5000000000000003E-2</v>
      </c>
      <c r="F64" s="6">
        <v>30</v>
      </c>
      <c r="G64" s="6">
        <v>5470.6670000000004</v>
      </c>
      <c r="I64" s="6">
        <v>0.9</v>
      </c>
      <c r="J64" s="6">
        <v>2.1110000000000002</v>
      </c>
      <c r="K64" s="8">
        <v>1</v>
      </c>
      <c r="L64" s="6">
        <v>164236</v>
      </c>
      <c r="N64" s="6">
        <v>0.99</v>
      </c>
      <c r="O64" s="6">
        <v>20.736000000000001</v>
      </c>
      <c r="P64" s="6">
        <v>361</v>
      </c>
      <c r="Q64" s="6">
        <v>441.67599999999999</v>
      </c>
      <c r="S64" s="6">
        <v>0.4</v>
      </c>
      <c r="T64" s="6">
        <v>0.152</v>
      </c>
      <c r="U64" s="6">
        <v>16</v>
      </c>
      <c r="V64" s="6">
        <v>10261</v>
      </c>
    </row>
    <row r="65" spans="4:22">
      <c r="D65" s="6">
        <v>0.14000000000000001</v>
      </c>
      <c r="E65" s="6">
        <v>4.5999999999999999E-2</v>
      </c>
      <c r="F65" s="6">
        <v>27</v>
      </c>
      <c r="G65" s="6">
        <v>6078.9629999999997</v>
      </c>
      <c r="I65" s="6">
        <v>0.95</v>
      </c>
      <c r="J65" s="6">
        <v>2.2789999999999999</v>
      </c>
      <c r="K65" s="8">
        <v>0</v>
      </c>
      <c r="L65" s="6" t="s">
        <v>26</v>
      </c>
      <c r="N65" s="6">
        <v>0.99199999999999999</v>
      </c>
      <c r="O65" s="6">
        <v>27.988</v>
      </c>
      <c r="P65" s="6">
        <v>231</v>
      </c>
      <c r="Q65" s="6">
        <v>692.48900000000003</v>
      </c>
      <c r="S65" s="6">
        <v>0.5</v>
      </c>
      <c r="T65" s="6">
        <v>0.245</v>
      </c>
      <c r="U65" s="6">
        <v>12</v>
      </c>
      <c r="V65" s="6">
        <v>13682.666999999999</v>
      </c>
    </row>
    <row r="66" spans="4:22">
      <c r="D66" s="6">
        <v>0.16</v>
      </c>
      <c r="E66" s="6">
        <v>5.7000000000000002E-2</v>
      </c>
      <c r="F66" s="6">
        <v>26</v>
      </c>
      <c r="G66" s="6">
        <v>6312.9229999999998</v>
      </c>
      <c r="N66" s="6">
        <v>0.99299999999999999</v>
      </c>
      <c r="O66" s="6">
        <v>30.867999999999999</v>
      </c>
      <c r="P66" s="6">
        <v>201</v>
      </c>
      <c r="Q66" s="6">
        <v>796.44299999999998</v>
      </c>
      <c r="S66" s="6">
        <v>0.55000000000000004</v>
      </c>
      <c r="T66" s="6">
        <v>0.39400000000000002</v>
      </c>
      <c r="U66" s="6">
        <v>11</v>
      </c>
      <c r="V66" s="6">
        <v>14926.909</v>
      </c>
    </row>
    <row r="67" spans="4:22">
      <c r="D67" s="6">
        <v>0.18</v>
      </c>
      <c r="E67" s="6">
        <v>0.157</v>
      </c>
      <c r="F67" s="6">
        <v>21</v>
      </c>
      <c r="G67" s="6">
        <v>7816.9520000000002</v>
      </c>
      <c r="N67" s="6">
        <v>0.99399999999999999</v>
      </c>
      <c r="O67" s="6">
        <v>32.865000000000002</v>
      </c>
      <c r="P67" s="6">
        <v>146</v>
      </c>
      <c r="Q67" s="6">
        <v>1097.979</v>
      </c>
      <c r="S67" s="6">
        <v>0.6</v>
      </c>
      <c r="T67" s="6">
        <v>0.92700000000000005</v>
      </c>
      <c r="U67" s="6">
        <v>9</v>
      </c>
      <c r="V67" s="6">
        <v>18244.888999999999</v>
      </c>
    </row>
    <row r="68" spans="4:22">
      <c r="D68" s="6">
        <v>0.2</v>
      </c>
      <c r="E68" s="7">
        <v>0.22800000000000001</v>
      </c>
      <c r="F68" s="6">
        <v>18</v>
      </c>
      <c r="G68" s="6">
        <v>9120.4439999999995</v>
      </c>
      <c r="N68" s="6">
        <v>0.995</v>
      </c>
      <c r="O68" s="6">
        <v>33.484999999999999</v>
      </c>
      <c r="P68" s="6">
        <v>107</v>
      </c>
      <c r="Q68" s="6">
        <v>1499.636</v>
      </c>
      <c r="S68" s="6">
        <v>0.7</v>
      </c>
      <c r="T68" s="6">
        <v>1.157</v>
      </c>
      <c r="U68" s="6">
        <v>7</v>
      </c>
      <c r="V68" s="6">
        <v>23458.857</v>
      </c>
    </row>
    <row r="69" spans="4:22">
      <c r="D69" s="6">
        <v>0.22</v>
      </c>
      <c r="E69" s="6">
        <v>0.29399999999999998</v>
      </c>
      <c r="F69" s="6">
        <v>15</v>
      </c>
      <c r="G69" s="6">
        <v>10889.066666666668</v>
      </c>
      <c r="N69" s="6">
        <v>0.996</v>
      </c>
      <c r="O69" s="6">
        <v>34.820999999999998</v>
      </c>
      <c r="P69" s="6">
        <v>60</v>
      </c>
      <c r="Q69" s="6">
        <v>2677.4830000000002</v>
      </c>
      <c r="S69" s="6">
        <v>0.8</v>
      </c>
      <c r="T69" s="6">
        <v>1.3109999999999999</v>
      </c>
      <c r="U69" s="6">
        <v>6</v>
      </c>
      <c r="V69" s="6">
        <v>27369.332999999999</v>
      </c>
    </row>
    <row r="70" spans="4:22">
      <c r="D70" s="6">
        <v>0.25</v>
      </c>
      <c r="E70" s="7">
        <v>0.33400000000000002</v>
      </c>
      <c r="F70" s="6">
        <v>10</v>
      </c>
      <c r="G70" s="6">
        <v>16420</v>
      </c>
      <c r="N70" s="6">
        <v>0.99650000000000005</v>
      </c>
      <c r="O70" s="6">
        <v>35.851999999999997</v>
      </c>
      <c r="P70" s="6">
        <v>36</v>
      </c>
      <c r="Q70" s="6">
        <v>4465.1390000000001</v>
      </c>
      <c r="S70" s="6">
        <v>0.85</v>
      </c>
      <c r="T70" s="6">
        <v>1.8260000000000001</v>
      </c>
      <c r="U70" s="6">
        <v>5</v>
      </c>
      <c r="V70" s="6">
        <v>32844</v>
      </c>
    </row>
    <row r="71" spans="4:22">
      <c r="D71" s="6">
        <v>0.3</v>
      </c>
      <c r="E71" s="7">
        <v>0.41699999999999998</v>
      </c>
      <c r="F71" s="8">
        <v>7</v>
      </c>
      <c r="G71" s="6">
        <v>23458.857</v>
      </c>
      <c r="N71" s="6">
        <v>0.99670000000000003</v>
      </c>
      <c r="O71" s="6">
        <v>36.341999999999999</v>
      </c>
      <c r="P71" s="8">
        <v>5</v>
      </c>
      <c r="Q71" s="6">
        <v>32173.8</v>
      </c>
      <c r="S71" s="6">
        <v>0.9</v>
      </c>
      <c r="T71" s="6">
        <v>2.048</v>
      </c>
      <c r="U71" s="6">
        <v>1</v>
      </c>
      <c r="V71" s="6">
        <v>164236</v>
      </c>
    </row>
    <row r="72" spans="4:22">
      <c r="D72" s="6">
        <v>0.35</v>
      </c>
      <c r="E72" s="7">
        <v>0.47799999999999998</v>
      </c>
      <c r="F72" s="8">
        <v>5</v>
      </c>
      <c r="G72" s="6">
        <v>32844</v>
      </c>
      <c r="N72" s="6">
        <v>0.997</v>
      </c>
      <c r="O72" s="6">
        <v>37.109000000000002</v>
      </c>
      <c r="P72" s="8">
        <v>0</v>
      </c>
      <c r="Q72" s="6" t="s">
        <v>26</v>
      </c>
    </row>
    <row r="73" spans="4:22">
      <c r="D73" s="6">
        <v>0.4</v>
      </c>
      <c r="E73" s="7">
        <v>0.62</v>
      </c>
      <c r="F73" s="8">
        <v>4</v>
      </c>
      <c r="G73" s="6">
        <v>41056</v>
      </c>
    </row>
    <row r="74" spans="4:22">
      <c r="D74" s="6">
        <v>0.5</v>
      </c>
      <c r="E74" s="7">
        <v>0.96099999999999997</v>
      </c>
      <c r="F74" s="8">
        <v>3</v>
      </c>
      <c r="G74" s="6">
        <v>54742.667000000001</v>
      </c>
    </row>
    <row r="75" spans="4:22">
      <c r="D75" s="6">
        <v>0.8</v>
      </c>
      <c r="E75" s="7">
        <v>1.9350000000000001</v>
      </c>
      <c r="F75" s="8">
        <v>2</v>
      </c>
      <c r="G75" s="6">
        <v>82116</v>
      </c>
    </row>
    <row r="76" spans="4:22">
      <c r="D76" s="6">
        <v>0.9</v>
      </c>
      <c r="E76" s="7">
        <v>2.6040000000000001</v>
      </c>
      <c r="F76" s="8">
        <v>1</v>
      </c>
      <c r="G76" s="6">
        <v>164236</v>
      </c>
      <c r="T76" s="7"/>
      <c r="U76" s="8"/>
    </row>
    <row r="77" spans="4:22">
      <c r="D77" s="6">
        <v>0.99</v>
      </c>
      <c r="E77" s="7">
        <v>17.79</v>
      </c>
      <c r="F77" s="8">
        <v>0</v>
      </c>
      <c r="G77" s="6" t="s">
        <v>26</v>
      </c>
      <c r="T77" s="7"/>
      <c r="U77" s="8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2:17">
      <c r="G97" s="7"/>
    </row>
    <row r="98" spans="2:17">
      <c r="G98" s="7"/>
    </row>
    <row r="99" spans="2:17">
      <c r="G99" s="7"/>
    </row>
    <row r="100" spans="2:17">
      <c r="G100" s="7"/>
    </row>
    <row r="101" spans="2:17">
      <c r="G101" s="7"/>
    </row>
    <row r="102" spans="2:17">
      <c r="G102" s="7"/>
    </row>
    <row r="103" spans="2:17" s="8" customFormat="1" ht="21">
      <c r="B103" s="24"/>
      <c r="D103" s="23" t="s">
        <v>71</v>
      </c>
      <c r="E103" s="16"/>
      <c r="F103" s="16"/>
      <c r="G103" s="16"/>
      <c r="I103" s="25" t="s">
        <v>75</v>
      </c>
      <c r="N103" s="26" t="s">
        <v>74</v>
      </c>
    </row>
    <row r="104" spans="2:17">
      <c r="D104" s="6" t="s">
        <v>72</v>
      </c>
      <c r="E104" s="7"/>
      <c r="N104" s="6" t="s">
        <v>73</v>
      </c>
    </row>
    <row r="105" spans="2:17">
      <c r="D105" s="6" t="s">
        <v>29</v>
      </c>
      <c r="E105" s="7"/>
    </row>
    <row r="106" spans="2:17">
      <c r="E106" s="7"/>
    </row>
    <row r="107" spans="2:17">
      <c r="D107" s="6" t="s">
        <v>1</v>
      </c>
      <c r="E107" s="7" t="s">
        <v>2</v>
      </c>
      <c r="F107" s="6" t="s">
        <v>43</v>
      </c>
      <c r="G107" s="6" t="s">
        <v>44</v>
      </c>
      <c r="I107" s="6" t="s">
        <v>1</v>
      </c>
      <c r="J107" s="7" t="s">
        <v>2</v>
      </c>
      <c r="K107" s="6" t="s">
        <v>43</v>
      </c>
      <c r="L107" s="6" t="s">
        <v>44</v>
      </c>
      <c r="N107" s="6" t="s">
        <v>1</v>
      </c>
      <c r="O107" s="7" t="s">
        <v>2</v>
      </c>
      <c r="P107" s="6" t="s">
        <v>43</v>
      </c>
      <c r="Q107" s="6" t="s">
        <v>44</v>
      </c>
    </row>
    <row r="108" spans="2:17">
      <c r="D108" s="6">
        <v>0.01</v>
      </c>
      <c r="E108" s="6">
        <v>0</v>
      </c>
      <c r="F108" s="6">
        <v>562</v>
      </c>
      <c r="G108" s="6">
        <v>288.24200000000002</v>
      </c>
      <c r="I108" s="6">
        <v>0.01</v>
      </c>
      <c r="J108" s="6">
        <v>0</v>
      </c>
      <c r="K108" s="6">
        <v>4096</v>
      </c>
      <c r="L108" s="6">
        <v>22.565999999999999</v>
      </c>
      <c r="N108" s="6">
        <v>4</v>
      </c>
      <c r="O108" s="6">
        <v>0</v>
      </c>
      <c r="P108" s="6">
        <v>4000</v>
      </c>
      <c r="Q108" s="6">
        <v>377.20800000000003</v>
      </c>
    </row>
    <row r="109" spans="2:17">
      <c r="D109" s="6">
        <v>0.05</v>
      </c>
      <c r="E109" s="6">
        <v>0</v>
      </c>
      <c r="F109" s="6">
        <v>195</v>
      </c>
      <c r="G109" s="6">
        <v>838.25599999999997</v>
      </c>
      <c r="I109" s="6">
        <v>0.02</v>
      </c>
      <c r="J109" s="6">
        <v>0</v>
      </c>
      <c r="K109" s="6">
        <v>4094</v>
      </c>
      <c r="L109" s="6">
        <v>65.900999999999996</v>
      </c>
      <c r="N109" s="6">
        <v>4.5</v>
      </c>
      <c r="O109" s="6">
        <v>0.5</v>
      </c>
      <c r="P109" s="6">
        <v>3998</v>
      </c>
      <c r="Q109" s="6">
        <v>579.44000000000005</v>
      </c>
    </row>
    <row r="110" spans="2:17">
      <c r="D110" s="6">
        <v>0.1</v>
      </c>
      <c r="E110" s="6">
        <v>0</v>
      </c>
      <c r="F110" s="6">
        <v>154</v>
      </c>
      <c r="G110" s="6">
        <v>1062.4939999999999</v>
      </c>
      <c r="I110" s="6">
        <v>0.03</v>
      </c>
      <c r="J110" s="6">
        <v>0.377</v>
      </c>
      <c r="K110" s="6">
        <v>4019</v>
      </c>
      <c r="L110" s="6">
        <v>116.587</v>
      </c>
      <c r="N110" s="6">
        <v>5</v>
      </c>
      <c r="O110" s="6">
        <v>0.65200000000000002</v>
      </c>
      <c r="P110" s="6">
        <v>3980</v>
      </c>
      <c r="Q110" s="6">
        <v>941.721</v>
      </c>
    </row>
    <row r="111" spans="2:17">
      <c r="D111" s="6">
        <v>0.15</v>
      </c>
      <c r="E111" s="6">
        <v>2E-3</v>
      </c>
      <c r="F111" s="6">
        <v>133</v>
      </c>
      <c r="G111" s="6">
        <v>1230.8869999999999</v>
      </c>
      <c r="I111" s="6">
        <v>0.04</v>
      </c>
      <c r="J111" s="6">
        <v>0.377</v>
      </c>
      <c r="K111" s="6">
        <v>3921</v>
      </c>
      <c r="L111" s="6">
        <v>163.262</v>
      </c>
      <c r="N111" s="6">
        <v>5.5</v>
      </c>
      <c r="O111" s="6">
        <v>0.73199999999999998</v>
      </c>
      <c r="P111" s="6">
        <v>3836</v>
      </c>
      <c r="Q111" s="6">
        <v>1537.0650000000001</v>
      </c>
    </row>
    <row r="112" spans="2:17">
      <c r="D112" s="6">
        <v>0.2</v>
      </c>
      <c r="E112" s="7">
        <v>3.0000000000000001E-3</v>
      </c>
      <c r="F112" s="6">
        <v>106</v>
      </c>
      <c r="G112" s="6">
        <v>1545.434</v>
      </c>
      <c r="I112" s="6">
        <v>0.05</v>
      </c>
      <c r="J112" s="6">
        <v>0.39500000000000002</v>
      </c>
      <c r="K112" s="6">
        <v>3759</v>
      </c>
      <c r="L112" s="6">
        <v>212.911</v>
      </c>
      <c r="N112" s="6">
        <v>6</v>
      </c>
      <c r="O112" s="6">
        <v>0.81200000000000006</v>
      </c>
      <c r="P112" s="6">
        <v>3457</v>
      </c>
      <c r="Q112" s="6">
        <v>2510.9859999999999</v>
      </c>
    </row>
    <row r="113" spans="4:17">
      <c r="D113" s="6">
        <v>0.25</v>
      </c>
      <c r="E113" s="6">
        <v>5.0000000000000001E-3</v>
      </c>
      <c r="F113" s="6">
        <v>94</v>
      </c>
      <c r="G113" s="6">
        <v>1743.2339999999999</v>
      </c>
      <c r="I113" s="6">
        <v>0.06</v>
      </c>
      <c r="J113" s="6">
        <v>0.443</v>
      </c>
      <c r="K113" s="6">
        <v>3586</v>
      </c>
      <c r="L113" s="6">
        <v>262.46499999999997</v>
      </c>
      <c r="N113" s="6">
        <v>6.5</v>
      </c>
      <c r="O113" s="6">
        <v>0.91800000000000004</v>
      </c>
      <c r="P113" s="6">
        <v>2809</v>
      </c>
      <c r="Q113" s="6">
        <v>4111.6930000000002</v>
      </c>
    </row>
    <row r="114" spans="4:17">
      <c r="D114" s="6">
        <v>0.3</v>
      </c>
      <c r="E114" s="7">
        <v>7.0000000000000001E-3</v>
      </c>
      <c r="F114" s="6">
        <v>84</v>
      </c>
      <c r="G114" s="6">
        <v>1951.2380000000001</v>
      </c>
      <c r="I114" s="6">
        <v>7.0000000000000007E-2</v>
      </c>
      <c r="J114" s="6">
        <v>0.46700000000000003</v>
      </c>
      <c r="K114" s="6">
        <v>3396</v>
      </c>
      <c r="L114" s="6">
        <v>319.21600000000001</v>
      </c>
      <c r="N114" s="6">
        <v>7</v>
      </c>
      <c r="O114" s="6">
        <v>1.0269999999999999</v>
      </c>
      <c r="P114" s="6">
        <v>2107</v>
      </c>
      <c r="Q114" s="6">
        <v>6726.9080000000004</v>
      </c>
    </row>
    <row r="115" spans="4:17">
      <c r="D115" s="6">
        <v>0.35</v>
      </c>
      <c r="E115" s="7">
        <v>1.6E-2</v>
      </c>
      <c r="F115" s="6">
        <v>68</v>
      </c>
      <c r="G115" s="6">
        <v>2411.2939999999999</v>
      </c>
      <c r="I115" s="6">
        <v>0.08</v>
      </c>
      <c r="J115" s="6">
        <v>0.47399999999999998</v>
      </c>
      <c r="K115" s="6">
        <v>3175</v>
      </c>
      <c r="L115" s="6">
        <v>383.59199999999998</v>
      </c>
      <c r="N115" s="6">
        <v>7.5</v>
      </c>
      <c r="O115" s="6">
        <v>1.137</v>
      </c>
      <c r="P115" s="6">
        <v>1384</v>
      </c>
      <c r="Q115" s="6">
        <v>11763.155000000001</v>
      </c>
    </row>
    <row r="116" spans="4:17">
      <c r="D116" s="6">
        <v>0.4</v>
      </c>
      <c r="E116" s="7">
        <v>0.03</v>
      </c>
      <c r="F116" s="6">
        <v>52</v>
      </c>
      <c r="G116" s="6">
        <v>3154.462</v>
      </c>
      <c r="I116" s="6">
        <v>0.09</v>
      </c>
      <c r="J116" s="6">
        <v>0.5</v>
      </c>
      <c r="K116" s="6">
        <v>2960</v>
      </c>
      <c r="L116" s="6">
        <v>455.197</v>
      </c>
      <c r="N116" s="6">
        <v>8</v>
      </c>
      <c r="O116" s="6">
        <v>1.236</v>
      </c>
      <c r="P116" s="6">
        <v>912</v>
      </c>
      <c r="Q116" s="6">
        <v>19287.677</v>
      </c>
    </row>
    <row r="117" spans="4:17">
      <c r="D117" s="6">
        <v>0.45</v>
      </c>
      <c r="E117" s="7">
        <v>5.3999999999999999E-2</v>
      </c>
      <c r="F117" s="6">
        <v>42</v>
      </c>
      <c r="G117" s="6">
        <v>3906.4760000000001</v>
      </c>
      <c r="I117" s="6">
        <v>0.1</v>
      </c>
      <c r="J117" s="6">
        <v>0.54</v>
      </c>
      <c r="K117" s="6">
        <v>2769</v>
      </c>
      <c r="L117" s="6">
        <v>526.74099999999999</v>
      </c>
      <c r="N117" s="6">
        <v>8.5</v>
      </c>
      <c r="O117" s="6">
        <v>1.347</v>
      </c>
      <c r="P117" s="6">
        <v>582</v>
      </c>
      <c r="Q117" s="6">
        <v>31753.918000000001</v>
      </c>
    </row>
    <row r="118" spans="4:17">
      <c r="D118" s="6">
        <v>0.5</v>
      </c>
      <c r="E118" s="7">
        <v>0.156</v>
      </c>
      <c r="F118" s="6">
        <v>33</v>
      </c>
      <c r="G118" s="6">
        <v>4972.97</v>
      </c>
      <c r="I118" s="6">
        <v>0.12</v>
      </c>
      <c r="J118" s="6">
        <v>0.60199999999999998</v>
      </c>
      <c r="K118" s="6">
        <v>2435</v>
      </c>
      <c r="L118" s="6">
        <v>667.34</v>
      </c>
      <c r="N118" s="6">
        <v>9</v>
      </c>
      <c r="O118" s="6">
        <v>1.4730000000000001</v>
      </c>
      <c r="P118" s="6">
        <v>371</v>
      </c>
      <c r="Q118" s="6">
        <v>51312.24</v>
      </c>
    </row>
    <row r="119" spans="4:17">
      <c r="D119" s="6">
        <v>0.6</v>
      </c>
      <c r="E119" s="7">
        <v>0.24399999999999999</v>
      </c>
      <c r="F119" s="6">
        <v>28</v>
      </c>
      <c r="G119" s="6">
        <v>5861.7139999999999</v>
      </c>
      <c r="I119" s="6">
        <v>0.14000000000000001</v>
      </c>
      <c r="J119" s="6">
        <v>0.65300000000000002</v>
      </c>
      <c r="K119" s="6">
        <v>2114</v>
      </c>
      <c r="L119" s="6">
        <v>840.15899999999999</v>
      </c>
      <c r="N119" s="6">
        <v>10</v>
      </c>
      <c r="O119" s="6">
        <v>1.6319999999999999</v>
      </c>
      <c r="P119" s="6">
        <v>148</v>
      </c>
      <c r="Q119" s="6">
        <v>132450.53400000001</v>
      </c>
    </row>
    <row r="120" spans="4:17">
      <c r="D120" s="6">
        <v>0.7</v>
      </c>
      <c r="E120" s="6">
        <v>0.45800000000000002</v>
      </c>
      <c r="F120" s="6">
        <v>21</v>
      </c>
      <c r="G120" s="6">
        <v>7816.9520000000002</v>
      </c>
      <c r="I120" s="6">
        <v>0.16</v>
      </c>
      <c r="J120" s="6">
        <v>0.69199999999999995</v>
      </c>
      <c r="K120" s="6">
        <v>1845</v>
      </c>
      <c r="L120" s="6">
        <v>1025.5820000000001</v>
      </c>
      <c r="N120" s="6">
        <v>11</v>
      </c>
      <c r="O120" s="6">
        <v>1.8640000000000001</v>
      </c>
      <c r="P120" s="6">
        <v>59</v>
      </c>
      <c r="Q120" s="6">
        <v>336485.59299999999</v>
      </c>
    </row>
    <row r="121" spans="4:17">
      <c r="D121" s="6">
        <v>0.75</v>
      </c>
      <c r="E121" s="6">
        <v>0.95399999999999996</v>
      </c>
      <c r="F121" s="6">
        <v>16</v>
      </c>
      <c r="G121" s="6">
        <v>10261</v>
      </c>
      <c r="I121" s="6">
        <v>0.18</v>
      </c>
      <c r="J121" s="6">
        <v>0.72199999999999998</v>
      </c>
      <c r="K121" s="6">
        <v>1624</v>
      </c>
      <c r="L121" s="6">
        <v>1222.0419999999999</v>
      </c>
      <c r="N121" s="6">
        <v>12</v>
      </c>
      <c r="O121" s="6">
        <v>2.0579999999999998</v>
      </c>
      <c r="P121" s="6">
        <v>22</v>
      </c>
      <c r="Q121" s="6">
        <v>906611.27300000004</v>
      </c>
    </row>
    <row r="122" spans="4:17">
      <c r="D122" s="6">
        <v>0.8</v>
      </c>
      <c r="E122" s="6">
        <v>0.996</v>
      </c>
      <c r="F122" s="6">
        <v>15</v>
      </c>
      <c r="G122" s="6">
        <v>10945.333000000001</v>
      </c>
      <c r="I122" s="6">
        <v>0.2</v>
      </c>
      <c r="J122" s="6">
        <v>0.75600000000000001</v>
      </c>
      <c r="K122" s="6">
        <v>1446</v>
      </c>
      <c r="L122" s="6">
        <v>1425.1010000000001</v>
      </c>
      <c r="N122" s="6">
        <v>14</v>
      </c>
      <c r="O122" s="6">
        <v>2.4079999999999999</v>
      </c>
      <c r="P122" s="6">
        <v>2</v>
      </c>
      <c r="Q122" s="6">
        <v>9996726.5</v>
      </c>
    </row>
    <row r="123" spans="4:17">
      <c r="D123" s="6">
        <v>0.85</v>
      </c>
      <c r="E123" s="6">
        <v>1.0289999999999999</v>
      </c>
      <c r="F123" s="6">
        <v>12</v>
      </c>
      <c r="G123" s="6">
        <v>13682.666999999999</v>
      </c>
      <c r="I123" s="6">
        <v>0.25</v>
      </c>
      <c r="J123" s="6">
        <v>0.82499999999999996</v>
      </c>
      <c r="K123" s="6">
        <v>1112</v>
      </c>
      <c r="L123" s="6">
        <v>1974.9159999999999</v>
      </c>
      <c r="N123" s="6">
        <v>16</v>
      </c>
      <c r="O123" s="6">
        <v>2.843</v>
      </c>
      <c r="P123" s="6">
        <v>0</v>
      </c>
      <c r="Q123" s="6" t="s">
        <v>26</v>
      </c>
    </row>
    <row r="124" spans="4:17">
      <c r="D124" s="6">
        <v>0.9</v>
      </c>
      <c r="E124" s="6">
        <v>1.3740000000000001</v>
      </c>
      <c r="F124" s="6">
        <v>10</v>
      </c>
      <c r="G124" s="6">
        <v>16420</v>
      </c>
      <c r="I124" s="6">
        <v>0.3</v>
      </c>
      <c r="J124" s="6">
        <v>0.89400000000000002</v>
      </c>
      <c r="K124" s="6">
        <v>894</v>
      </c>
      <c r="L124" s="6">
        <v>2561.2440000000001</v>
      </c>
    </row>
    <row r="125" spans="4:17">
      <c r="D125" s="6">
        <v>0.95</v>
      </c>
      <c r="E125" s="6">
        <v>2.1190000000000002</v>
      </c>
      <c r="F125" s="6">
        <v>6</v>
      </c>
      <c r="G125" s="6">
        <v>27369.332999999999</v>
      </c>
      <c r="I125" s="6">
        <v>0.35</v>
      </c>
      <c r="J125" s="6">
        <v>0.95399999999999996</v>
      </c>
      <c r="K125" s="6">
        <v>711</v>
      </c>
      <c r="L125" s="6">
        <v>3308.5880000000002</v>
      </c>
    </row>
    <row r="126" spans="4:17">
      <c r="D126" s="6">
        <v>0.99</v>
      </c>
      <c r="E126" s="6">
        <v>5.9669999999999996</v>
      </c>
      <c r="F126" s="6">
        <v>0</v>
      </c>
      <c r="G126" s="6" t="s">
        <v>26</v>
      </c>
      <c r="I126" s="6">
        <v>0.4</v>
      </c>
      <c r="J126" s="6">
        <v>1.0129999999999999</v>
      </c>
      <c r="K126" s="6">
        <v>538</v>
      </c>
      <c r="L126" s="6">
        <v>4494.7430000000004</v>
      </c>
    </row>
    <row r="127" spans="4:17">
      <c r="G127" s="7"/>
      <c r="I127" s="6">
        <v>0.45</v>
      </c>
      <c r="J127" s="6">
        <v>1.077</v>
      </c>
      <c r="K127" s="6">
        <v>406</v>
      </c>
      <c r="L127" s="6">
        <v>6070.2340000000004</v>
      </c>
    </row>
    <row r="128" spans="4:17">
      <c r="I128" s="6">
        <v>0.5</v>
      </c>
      <c r="J128" s="6">
        <v>1.1379999999999999</v>
      </c>
      <c r="K128" s="6">
        <v>325</v>
      </c>
      <c r="L128" s="6">
        <v>7676.5450000000001</v>
      </c>
    </row>
    <row r="129" spans="4:12">
      <c r="I129" s="6">
        <v>0.55000000000000004</v>
      </c>
      <c r="J129" s="6">
        <v>1.19</v>
      </c>
      <c r="K129" s="6">
        <v>261</v>
      </c>
      <c r="L129" s="6">
        <v>9660.8580000000002</v>
      </c>
    </row>
    <row r="130" spans="4:12">
      <c r="I130" s="6">
        <v>0.6</v>
      </c>
      <c r="J130" s="6">
        <v>1.256</v>
      </c>
      <c r="K130" s="6">
        <v>205</v>
      </c>
      <c r="L130" s="6">
        <v>12407.127</v>
      </c>
    </row>
    <row r="131" spans="4:12">
      <c r="I131" s="6">
        <v>0.65</v>
      </c>
      <c r="J131" s="6">
        <v>1.32</v>
      </c>
      <c r="K131" s="6">
        <v>158</v>
      </c>
      <c r="L131" s="6">
        <v>16201.297</v>
      </c>
    </row>
    <row r="132" spans="4:12">
      <c r="I132" s="6">
        <v>0.7</v>
      </c>
      <c r="J132" s="6">
        <v>1.403</v>
      </c>
      <c r="K132" s="6">
        <v>119</v>
      </c>
      <c r="L132" s="6">
        <v>21614.983</v>
      </c>
    </row>
    <row r="133" spans="4:12">
      <c r="I133" s="6">
        <v>0.75</v>
      </c>
      <c r="J133" s="6">
        <v>1.4890000000000001</v>
      </c>
      <c r="K133" s="6">
        <v>86</v>
      </c>
      <c r="L133" s="6">
        <v>30041.208999999999</v>
      </c>
    </row>
    <row r="134" spans="4:12">
      <c r="I134" s="6">
        <v>0.8</v>
      </c>
      <c r="J134" s="6">
        <v>1.585</v>
      </c>
      <c r="K134" s="6">
        <v>56</v>
      </c>
      <c r="L134" s="6">
        <v>46292.892999999996</v>
      </c>
    </row>
    <row r="135" spans="4:12">
      <c r="I135" s="6">
        <v>0.85</v>
      </c>
      <c r="J135" s="6">
        <v>1.7030000000000001</v>
      </c>
      <c r="K135" s="6">
        <v>38</v>
      </c>
      <c r="L135" s="6">
        <v>68427.763000000006</v>
      </c>
    </row>
    <row r="136" spans="4:12">
      <c r="I136" s="6">
        <v>0.9</v>
      </c>
      <c r="J136" s="6">
        <v>1.8680000000000001</v>
      </c>
      <c r="K136" s="6">
        <v>18</v>
      </c>
      <c r="L136" s="6">
        <v>144860.05600000001</v>
      </c>
    </row>
    <row r="137" spans="4:12">
      <c r="I137" s="6">
        <v>0.95</v>
      </c>
      <c r="J137" s="6">
        <v>2.2570000000000001</v>
      </c>
      <c r="K137" s="6">
        <v>6</v>
      </c>
      <c r="L137" s="6">
        <v>435126.5</v>
      </c>
    </row>
    <row r="138" spans="4:12">
      <c r="I138" s="6">
        <v>0.99</v>
      </c>
      <c r="J138" s="6">
        <v>5.843</v>
      </c>
      <c r="K138" s="6">
        <v>0</v>
      </c>
      <c r="L138" s="6" t="s">
        <v>26</v>
      </c>
    </row>
    <row r="141" spans="4:12">
      <c r="D141" s="6" t="s">
        <v>88</v>
      </c>
      <c r="K141" s="6" t="s">
        <v>85</v>
      </c>
    </row>
    <row r="142" spans="4:12">
      <c r="D142" s="6" t="s">
        <v>77</v>
      </c>
      <c r="G142" s="6" t="s">
        <v>89</v>
      </c>
      <c r="I142" s="6" t="s">
        <v>83</v>
      </c>
      <c r="K142" s="6" t="s">
        <v>77</v>
      </c>
    </row>
    <row r="143" spans="4:12">
      <c r="D143" s="6" t="s">
        <v>78</v>
      </c>
      <c r="G143" s="6" t="s">
        <v>84</v>
      </c>
      <c r="I143" s="6">
        <f>1/4*1/30</f>
        <v>8.3333333333333332E-3</v>
      </c>
      <c r="K143" s="6" t="s">
        <v>78</v>
      </c>
    </row>
    <row r="145" spans="4:16" ht="18.75">
      <c r="D145" s="28" t="s">
        <v>86</v>
      </c>
      <c r="E145" s="27"/>
      <c r="F145" s="27"/>
      <c r="G145" s="27"/>
      <c r="H145" s="27"/>
      <c r="I145" s="27"/>
      <c r="J145" s="27"/>
      <c r="K145" s="29" t="s">
        <v>87</v>
      </c>
      <c r="L145" s="27"/>
    </row>
    <row r="146" spans="4:16">
      <c r="D146" s="6" t="s">
        <v>76</v>
      </c>
      <c r="E146" s="7" t="s">
        <v>81</v>
      </c>
      <c r="F146" s="7" t="s">
        <v>82</v>
      </c>
      <c r="G146" s="6" t="s">
        <v>43</v>
      </c>
      <c r="H146" s="6" t="s">
        <v>79</v>
      </c>
      <c r="I146" s="6" t="s">
        <v>80</v>
      </c>
      <c r="K146" s="6" t="s">
        <v>76</v>
      </c>
      <c r="L146" s="7" t="s">
        <v>81</v>
      </c>
      <c r="M146" s="7" t="s">
        <v>82</v>
      </c>
      <c r="N146" s="6" t="s">
        <v>43</v>
      </c>
      <c r="O146" s="6" t="s">
        <v>79</v>
      </c>
      <c r="P146" s="6" t="s">
        <v>80</v>
      </c>
    </row>
    <row r="147" spans="4:16">
      <c r="D147" s="6">
        <v>0.1</v>
      </c>
      <c r="E147" s="6">
        <v>2.2269999999999999</v>
      </c>
      <c r="F147" s="6">
        <f t="shared" ref="F147:F163" si="0">E147*$I$143</f>
        <v>1.8558333333333333E-2</v>
      </c>
      <c r="G147" s="6">
        <v>459</v>
      </c>
      <c r="H147" s="6">
        <v>45058.332999999999</v>
      </c>
      <c r="I147" s="6">
        <f t="shared" ref="I147:I163" si="1">H147*$I$143</f>
        <v>375.48610833333333</v>
      </c>
      <c r="K147" s="6">
        <v>0.1</v>
      </c>
      <c r="L147" s="6">
        <v>170.667</v>
      </c>
      <c r="M147" s="6">
        <f t="shared" ref="M147:M169" si="2">L147*$I$143</f>
        <v>1.4222250000000001</v>
      </c>
      <c r="N147" s="6">
        <v>897</v>
      </c>
      <c r="O147" s="6">
        <v>22807.087</v>
      </c>
      <c r="P147" s="6">
        <f t="shared" ref="P147:P169" si="3">O147*$I$143</f>
        <v>190.05905833333333</v>
      </c>
    </row>
    <row r="148" spans="4:16">
      <c r="D148" s="6">
        <v>0.105</v>
      </c>
      <c r="E148" s="6">
        <v>791.45799999999997</v>
      </c>
      <c r="F148" s="6">
        <f t="shared" si="0"/>
        <v>6.5954833333333331</v>
      </c>
      <c r="G148" s="6">
        <v>386</v>
      </c>
      <c r="H148" s="6">
        <v>53676.368000000002</v>
      </c>
      <c r="I148" s="6">
        <f t="shared" si="1"/>
        <v>447.30306666666667</v>
      </c>
      <c r="K148" s="6">
        <v>0.12</v>
      </c>
      <c r="L148" s="6">
        <v>216.292</v>
      </c>
      <c r="M148" s="6">
        <f t="shared" si="2"/>
        <v>1.8024333333333333</v>
      </c>
      <c r="N148" s="6">
        <v>826</v>
      </c>
      <c r="O148" s="6">
        <v>24811.425999999999</v>
      </c>
      <c r="P148" s="6">
        <f t="shared" si="3"/>
        <v>206.76188333333332</v>
      </c>
    </row>
    <row r="149" spans="4:16">
      <c r="D149" s="6">
        <v>0.11</v>
      </c>
      <c r="E149" s="6">
        <v>1216.069</v>
      </c>
      <c r="F149" s="6">
        <f t="shared" si="0"/>
        <v>10.133908333333332</v>
      </c>
      <c r="G149" s="6">
        <v>339</v>
      </c>
      <c r="H149" s="6">
        <v>61189.071000000004</v>
      </c>
      <c r="I149" s="6">
        <f t="shared" si="1"/>
        <v>509.90892500000001</v>
      </c>
      <c r="K149" s="6">
        <v>0.13</v>
      </c>
      <c r="L149" s="6">
        <v>226.62700000000001</v>
      </c>
      <c r="M149" s="6">
        <f t="shared" si="2"/>
        <v>1.8885583333333333</v>
      </c>
      <c r="N149" s="6">
        <v>715</v>
      </c>
      <c r="O149" s="6">
        <v>28742.6</v>
      </c>
      <c r="P149" s="6">
        <f t="shared" si="3"/>
        <v>239.52166666666665</v>
      </c>
    </row>
    <row r="150" spans="4:16">
      <c r="D150" s="6">
        <v>0.115</v>
      </c>
      <c r="E150" s="6">
        <v>1461.481</v>
      </c>
      <c r="F150" s="6">
        <f t="shared" si="0"/>
        <v>12.179008333333334</v>
      </c>
      <c r="G150" s="6">
        <v>313</v>
      </c>
      <c r="H150" s="6">
        <v>66314.316000000006</v>
      </c>
      <c r="I150" s="6">
        <f t="shared" si="1"/>
        <v>552.61930000000007</v>
      </c>
      <c r="K150" s="6">
        <v>0.14000000000000001</v>
      </c>
      <c r="L150" s="6">
        <v>261.43799999999999</v>
      </c>
      <c r="M150" s="6">
        <f t="shared" si="2"/>
        <v>2.1786499999999998</v>
      </c>
      <c r="N150" s="6">
        <v>706</v>
      </c>
      <c r="O150" s="6">
        <v>29115.521000000001</v>
      </c>
      <c r="P150" s="6">
        <f t="shared" si="3"/>
        <v>242.62934166666668</v>
      </c>
    </row>
    <row r="151" spans="4:16">
      <c r="D151" s="6">
        <v>0.12</v>
      </c>
      <c r="E151" s="6">
        <v>1548.008</v>
      </c>
      <c r="F151" s="6">
        <f t="shared" si="0"/>
        <v>12.900066666666667</v>
      </c>
      <c r="G151" s="6">
        <v>302</v>
      </c>
      <c r="H151" s="6">
        <v>68748.350999999995</v>
      </c>
      <c r="I151" s="6">
        <f t="shared" si="1"/>
        <v>572.90292499999998</v>
      </c>
      <c r="K151" s="6">
        <v>0.14299999999999999</v>
      </c>
      <c r="L151" s="6">
        <v>323.47699999999998</v>
      </c>
      <c r="M151" s="6">
        <f t="shared" si="2"/>
        <v>2.6956416666666665</v>
      </c>
      <c r="N151" s="6">
        <v>701</v>
      </c>
      <c r="O151" s="6">
        <v>29326.837</v>
      </c>
      <c r="P151" s="6">
        <f t="shared" si="3"/>
        <v>244.39030833333334</v>
      </c>
    </row>
    <row r="152" spans="4:16">
      <c r="D152" s="6">
        <v>0.14000000000000001</v>
      </c>
      <c r="E152" s="6">
        <v>1658.2260000000001</v>
      </c>
      <c r="F152" s="6">
        <f t="shared" si="0"/>
        <v>13.81855</v>
      </c>
      <c r="G152" s="6">
        <v>290</v>
      </c>
      <c r="H152" s="6">
        <v>71614.255000000005</v>
      </c>
      <c r="I152" s="6">
        <f t="shared" si="1"/>
        <v>596.78545833333339</v>
      </c>
      <c r="K152" s="6">
        <v>0.14599999999999999</v>
      </c>
      <c r="L152" s="6">
        <v>382.69400000000002</v>
      </c>
      <c r="M152" s="6">
        <f t="shared" si="2"/>
        <v>3.1891166666666666</v>
      </c>
      <c r="N152" s="6">
        <v>688</v>
      </c>
      <c r="O152" s="6">
        <v>29890.633999999998</v>
      </c>
      <c r="P152" s="6">
        <f t="shared" si="3"/>
        <v>249.08861666666664</v>
      </c>
    </row>
    <row r="153" spans="4:16">
      <c r="D153" s="6">
        <v>0.16</v>
      </c>
      <c r="E153" s="6">
        <v>1713.653</v>
      </c>
      <c r="F153" s="6">
        <f t="shared" si="0"/>
        <v>14.280441666666666</v>
      </c>
      <c r="G153" s="6">
        <v>285</v>
      </c>
      <c r="H153" s="6">
        <v>72879.611000000004</v>
      </c>
      <c r="I153" s="6">
        <f t="shared" si="1"/>
        <v>607.3300916666667</v>
      </c>
      <c r="K153" s="6">
        <v>0.14699999999999999</v>
      </c>
      <c r="L153" s="6">
        <v>587.22299999999996</v>
      </c>
      <c r="M153" s="6">
        <f t="shared" si="2"/>
        <v>4.8935249999999995</v>
      </c>
      <c r="N153" s="6">
        <v>652</v>
      </c>
      <c r="O153" s="6">
        <v>31569.252</v>
      </c>
      <c r="P153" s="6">
        <f t="shared" si="3"/>
        <v>263.07709999999997</v>
      </c>
    </row>
    <row r="154" spans="4:16">
      <c r="D154" s="6">
        <v>0.18</v>
      </c>
      <c r="E154" s="6">
        <v>1763.306</v>
      </c>
      <c r="F154" s="6">
        <f t="shared" si="0"/>
        <v>14.694216666666668</v>
      </c>
      <c r="G154" s="6">
        <v>278</v>
      </c>
      <c r="H154" s="6">
        <v>74727.576000000001</v>
      </c>
      <c r="I154" s="6">
        <f t="shared" si="1"/>
        <v>622.72979999999995</v>
      </c>
      <c r="K154" s="6">
        <v>0.14799999999999999</v>
      </c>
      <c r="L154" s="6">
        <v>896.27700000000004</v>
      </c>
      <c r="M154" s="6">
        <f t="shared" si="2"/>
        <v>7.4689750000000004</v>
      </c>
      <c r="N154" s="6">
        <v>608</v>
      </c>
      <c r="O154" s="6">
        <v>33890.849000000002</v>
      </c>
      <c r="P154" s="6">
        <f t="shared" si="3"/>
        <v>282.42374166666667</v>
      </c>
    </row>
    <row r="155" spans="4:16">
      <c r="D155" s="6">
        <v>0.2</v>
      </c>
      <c r="E155" s="6">
        <v>1861.528</v>
      </c>
      <c r="F155" s="6">
        <f t="shared" si="0"/>
        <v>15.512733333333333</v>
      </c>
      <c r="G155" s="6">
        <v>269</v>
      </c>
      <c r="H155" s="6">
        <v>77244.850999999995</v>
      </c>
      <c r="I155" s="6">
        <f t="shared" si="1"/>
        <v>643.70709166666666</v>
      </c>
      <c r="K155" s="6">
        <v>0.14899999999999999</v>
      </c>
      <c r="L155" s="6">
        <v>1035.5</v>
      </c>
      <c r="M155" s="6">
        <f t="shared" si="2"/>
        <v>8.6291666666666664</v>
      </c>
      <c r="N155" s="6">
        <v>581</v>
      </c>
      <c r="O155" s="6">
        <v>35489.557999999997</v>
      </c>
      <c r="P155" s="6">
        <f t="shared" si="3"/>
        <v>295.74631666666664</v>
      </c>
    </row>
    <row r="156" spans="4:16">
      <c r="D156" s="6">
        <v>0.25</v>
      </c>
      <c r="E156" s="6">
        <v>2032.8510000000001</v>
      </c>
      <c r="F156" s="6">
        <f t="shared" si="0"/>
        <v>16.940425000000001</v>
      </c>
      <c r="G156" s="6">
        <v>247</v>
      </c>
      <c r="H156" s="6">
        <v>84170.474000000002</v>
      </c>
      <c r="I156" s="6">
        <f t="shared" si="1"/>
        <v>701.42061666666666</v>
      </c>
      <c r="K156" s="6">
        <v>0.15</v>
      </c>
      <c r="L156" s="6">
        <v>1051.096</v>
      </c>
      <c r="M156" s="6">
        <f t="shared" si="2"/>
        <v>8.7591333333333328</v>
      </c>
      <c r="N156" s="6">
        <v>574</v>
      </c>
      <c r="O156" s="6">
        <v>35928.589</v>
      </c>
      <c r="P156" s="6">
        <f t="shared" si="3"/>
        <v>299.40490833333331</v>
      </c>
    </row>
    <row r="157" spans="4:16">
      <c r="D157" s="6">
        <v>0.3</v>
      </c>
      <c r="E157" s="6">
        <v>2210.2220000000002</v>
      </c>
      <c r="F157" s="6">
        <f t="shared" si="0"/>
        <v>18.418516666666669</v>
      </c>
      <c r="G157" s="6">
        <v>233</v>
      </c>
      <c r="H157" s="6">
        <v>89258.630999999994</v>
      </c>
      <c r="I157" s="6">
        <f t="shared" si="1"/>
        <v>743.82192499999996</v>
      </c>
      <c r="K157" s="6">
        <v>0.2</v>
      </c>
      <c r="L157" s="6">
        <v>1159.165</v>
      </c>
      <c r="M157" s="6">
        <f t="shared" si="2"/>
        <v>9.6597083333333327</v>
      </c>
      <c r="N157" s="6">
        <v>545</v>
      </c>
      <c r="O157" s="6">
        <v>37867.576000000001</v>
      </c>
      <c r="P157" s="6">
        <f t="shared" si="3"/>
        <v>315.56313333333333</v>
      </c>
    </row>
    <row r="158" spans="4:16">
      <c r="D158" s="6">
        <v>0.4</v>
      </c>
      <c r="E158" s="6">
        <v>2469.777</v>
      </c>
      <c r="F158" s="6">
        <f t="shared" si="0"/>
        <v>20.581475000000001</v>
      </c>
      <c r="G158" s="6">
        <v>204</v>
      </c>
      <c r="H158" s="6">
        <v>102020</v>
      </c>
      <c r="I158" s="6">
        <f t="shared" si="1"/>
        <v>850.16666666666663</v>
      </c>
      <c r="K158" s="6">
        <v>0.3</v>
      </c>
      <c r="L158" s="6">
        <v>1328.7909999999999</v>
      </c>
      <c r="M158" s="6">
        <f t="shared" si="2"/>
        <v>11.073258333333333</v>
      </c>
      <c r="N158" s="6">
        <v>507</v>
      </c>
      <c r="O158" s="6">
        <v>40744.076999999997</v>
      </c>
      <c r="P158" s="6">
        <f t="shared" si="3"/>
        <v>339.533975</v>
      </c>
    </row>
    <row r="159" spans="4:16">
      <c r="D159" s="6">
        <v>0.5</v>
      </c>
      <c r="E159" s="6">
        <v>2662.5830000000001</v>
      </c>
      <c r="F159" s="6">
        <f t="shared" si="0"/>
        <v>22.188191666666668</v>
      </c>
      <c r="G159" s="6">
        <v>193</v>
      </c>
      <c r="H159" s="6">
        <v>107863.736</v>
      </c>
      <c r="I159" s="6">
        <f t="shared" si="1"/>
        <v>898.86446666666666</v>
      </c>
      <c r="K159" s="6">
        <v>0.4</v>
      </c>
      <c r="L159" s="6">
        <v>1428.722</v>
      </c>
      <c r="M159" s="6">
        <f t="shared" si="2"/>
        <v>11.906016666666666</v>
      </c>
      <c r="N159" s="6">
        <v>477</v>
      </c>
      <c r="O159" s="6">
        <v>43338.735999999997</v>
      </c>
      <c r="P159" s="6">
        <f t="shared" si="3"/>
        <v>361.15613333333329</v>
      </c>
    </row>
    <row r="160" spans="4:16">
      <c r="D160" s="6">
        <v>0.6</v>
      </c>
      <c r="E160" s="6">
        <v>3173.1529999999998</v>
      </c>
      <c r="F160" s="6">
        <f t="shared" si="0"/>
        <v>26.442941666666666</v>
      </c>
      <c r="G160" s="6">
        <v>177</v>
      </c>
      <c r="H160" s="6">
        <v>117660.322</v>
      </c>
      <c r="I160" s="6">
        <f t="shared" si="1"/>
        <v>980.50268333333327</v>
      </c>
      <c r="K160" s="6">
        <v>0.5</v>
      </c>
      <c r="L160" s="6">
        <v>1573.5</v>
      </c>
      <c r="M160" s="6">
        <f t="shared" si="2"/>
        <v>13.112499999999999</v>
      </c>
      <c r="N160" s="6">
        <v>462</v>
      </c>
      <c r="O160" s="6">
        <v>44762.428999999996</v>
      </c>
      <c r="P160" s="6">
        <f t="shared" si="3"/>
        <v>373.02024166666661</v>
      </c>
    </row>
    <row r="161" spans="4:16">
      <c r="D161" s="6">
        <v>0.7</v>
      </c>
      <c r="E161" s="6">
        <v>3368.817</v>
      </c>
      <c r="F161" s="6">
        <f t="shared" si="0"/>
        <v>28.073474999999998</v>
      </c>
      <c r="G161" s="6">
        <v>162</v>
      </c>
      <c r="H161" s="6">
        <v>128602.111</v>
      </c>
      <c r="I161" s="6">
        <f t="shared" si="1"/>
        <v>1071.6842583333334</v>
      </c>
      <c r="K161" s="6">
        <v>0.6</v>
      </c>
      <c r="L161" s="6">
        <v>1635.079</v>
      </c>
      <c r="M161" s="6">
        <f t="shared" si="2"/>
        <v>13.625658333333332</v>
      </c>
      <c r="N161" s="6">
        <v>442</v>
      </c>
      <c r="O161" s="6">
        <v>46811</v>
      </c>
      <c r="P161" s="6">
        <f t="shared" si="3"/>
        <v>390.09166666666664</v>
      </c>
    </row>
    <row r="162" spans="4:16">
      <c r="D162" s="6">
        <v>0.8</v>
      </c>
      <c r="E162" s="6">
        <v>3475.5</v>
      </c>
      <c r="F162" s="6">
        <f t="shared" si="0"/>
        <v>28.962499999999999</v>
      </c>
      <c r="G162" s="6">
        <v>142</v>
      </c>
      <c r="H162" s="6">
        <v>146787.05600000001</v>
      </c>
      <c r="I162" s="6">
        <f t="shared" si="1"/>
        <v>1223.2254666666668</v>
      </c>
      <c r="K162" s="6">
        <v>0.7</v>
      </c>
      <c r="L162" s="6">
        <v>1726.2860000000001</v>
      </c>
      <c r="M162" s="6">
        <f t="shared" si="2"/>
        <v>14.385716666666667</v>
      </c>
      <c r="N162" s="6">
        <v>422</v>
      </c>
      <c r="O162" s="6">
        <v>49053.749000000003</v>
      </c>
      <c r="P162" s="6">
        <f>O162*$I$143</f>
        <v>408.78124166666669</v>
      </c>
    </row>
    <row r="163" spans="4:16">
      <c r="D163" s="6">
        <v>0.9</v>
      </c>
      <c r="E163" s="6">
        <v>3488.364</v>
      </c>
      <c r="F163" s="6">
        <f t="shared" si="0"/>
        <v>29.069700000000001</v>
      </c>
      <c r="G163" s="6">
        <v>140</v>
      </c>
      <c r="H163" s="6">
        <v>148891.31400000001</v>
      </c>
      <c r="I163" s="6">
        <f t="shared" si="1"/>
        <v>1240.7609500000001</v>
      </c>
      <c r="K163" s="6">
        <v>0.8</v>
      </c>
      <c r="L163" s="6">
        <v>1911.7260000000001</v>
      </c>
      <c r="M163" s="6">
        <f t="shared" si="2"/>
        <v>15.931050000000001</v>
      </c>
      <c r="N163" s="6">
        <v>399</v>
      </c>
      <c r="O163" s="6">
        <v>51910.864999999998</v>
      </c>
      <c r="P163" s="6">
        <f t="shared" si="3"/>
        <v>432.59054166666664</v>
      </c>
    </row>
    <row r="164" spans="4:16">
      <c r="K164" s="6">
        <v>0.9</v>
      </c>
      <c r="L164" s="6">
        <v>2302.3809999999999</v>
      </c>
      <c r="M164" s="6">
        <f t="shared" si="2"/>
        <v>19.186508333333332</v>
      </c>
      <c r="N164" s="6">
        <v>316</v>
      </c>
      <c r="O164" s="6">
        <v>65679.899000000005</v>
      </c>
      <c r="P164" s="6">
        <f t="shared" si="3"/>
        <v>547.33249166666667</v>
      </c>
    </row>
    <row r="165" spans="4:16">
      <c r="K165" s="6">
        <v>0.91</v>
      </c>
      <c r="L165" s="6">
        <v>2356.5590000000002</v>
      </c>
      <c r="M165" s="6">
        <f t="shared" si="2"/>
        <v>19.637991666666668</v>
      </c>
      <c r="N165" s="6">
        <v>303</v>
      </c>
      <c r="O165" s="6">
        <v>68519.771999999997</v>
      </c>
      <c r="P165" s="6">
        <f t="shared" si="3"/>
        <v>570.99810000000002</v>
      </c>
    </row>
    <row r="166" spans="4:16">
      <c r="K166" s="6">
        <v>0.92</v>
      </c>
      <c r="L166" s="6">
        <v>2365.5059999999999</v>
      </c>
      <c r="M166" s="6">
        <f t="shared" si="2"/>
        <v>19.71255</v>
      </c>
      <c r="N166" s="6">
        <v>284</v>
      </c>
      <c r="O166" s="6">
        <v>73138.028000000006</v>
      </c>
      <c r="P166" s="6">
        <f t="shared" si="3"/>
        <v>609.48356666666666</v>
      </c>
    </row>
    <row r="167" spans="4:16">
      <c r="K167" s="6">
        <v>0.93</v>
      </c>
      <c r="L167" s="6">
        <v>2391.4639999999999</v>
      </c>
      <c r="M167" s="6">
        <f t="shared" si="2"/>
        <v>19.928866666666664</v>
      </c>
      <c r="N167" s="6">
        <v>255</v>
      </c>
      <c r="O167" s="6">
        <v>81513.8</v>
      </c>
      <c r="P167" s="6">
        <f t="shared" si="3"/>
        <v>679.28166666666664</v>
      </c>
    </row>
    <row r="168" spans="4:16">
      <c r="K168" s="6">
        <v>0.94</v>
      </c>
      <c r="L168" s="6">
        <v>2457.692</v>
      </c>
      <c r="M168" s="6">
        <f t="shared" si="2"/>
        <v>20.480766666666668</v>
      </c>
      <c r="N168" s="6">
        <v>218</v>
      </c>
      <c r="O168" s="6">
        <v>95435.44</v>
      </c>
      <c r="P168" s="6">
        <f t="shared" si="3"/>
        <v>795.29533333333336</v>
      </c>
    </row>
    <row r="169" spans="4:16">
      <c r="K169" s="6">
        <v>0.95</v>
      </c>
      <c r="L169" s="6">
        <v>2539.9189999999999</v>
      </c>
      <c r="M169" s="6">
        <f t="shared" si="2"/>
        <v>21.165991666666667</v>
      </c>
      <c r="N169" s="6">
        <v>160</v>
      </c>
      <c r="O169" s="6">
        <v>130216.02499999999</v>
      </c>
      <c r="P169" s="6">
        <f t="shared" si="3"/>
        <v>1085.1335416666666</v>
      </c>
    </row>
    <row r="174" spans="4:16">
      <c r="E174" s="7"/>
      <c r="F174" s="7"/>
    </row>
  </sheetData>
  <sortState ref="D147:I165">
    <sortCondition ref="D147"/>
  </sortState>
  <phoneticPr fontId="1" type="noConversion"/>
  <hyperlinks>
    <hyperlink ref="X8" r:id="rId1"/>
  </hyperlinks>
  <pageMargins left="0.7" right="0.7" top="0.75" bottom="0.75" header="0.3" footer="0.3"/>
  <pageSetup paperSize="9" orientation="portrait" horizontalDpi="4294967295" verticalDpi="4294967295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9"/>
  <sheetViews>
    <sheetView workbookViewId="0">
      <selection activeCell="L29" sqref="L29"/>
    </sheetView>
  </sheetViews>
  <sheetFormatPr defaultRowHeight="13.5"/>
  <cols>
    <col min="1" max="1" width="10.75" customWidth="1"/>
    <col min="7" max="7" width="12.375" customWidth="1"/>
  </cols>
  <sheetData>
    <row r="1" spans="2:10">
      <c r="B1" t="s">
        <v>9</v>
      </c>
    </row>
    <row r="2" spans="2:10">
      <c r="B2" t="s">
        <v>8</v>
      </c>
      <c r="G2" t="s">
        <v>4</v>
      </c>
      <c r="H2" t="s">
        <v>2</v>
      </c>
      <c r="I2" t="s">
        <v>3</v>
      </c>
      <c r="J2" t="s">
        <v>7</v>
      </c>
    </row>
    <row r="3" spans="2:10">
      <c r="B3" t="s">
        <v>10</v>
      </c>
      <c r="G3" t="s">
        <v>5</v>
      </c>
      <c r="H3">
        <v>1.673</v>
      </c>
      <c r="I3">
        <v>0.25</v>
      </c>
      <c r="J3">
        <v>5</v>
      </c>
    </row>
    <row r="4" spans="2:10">
      <c r="C4" t="s">
        <v>2</v>
      </c>
      <c r="D4" t="s">
        <v>3</v>
      </c>
      <c r="E4" t="s">
        <v>1</v>
      </c>
      <c r="G4" t="s">
        <v>6</v>
      </c>
      <c r="H4">
        <v>3.2</v>
      </c>
      <c r="I4">
        <v>0.15</v>
      </c>
      <c r="J4">
        <v>5</v>
      </c>
    </row>
    <row r="5" spans="2:10">
      <c r="C5">
        <v>1.0580000000000001</v>
      </c>
      <c r="D5">
        <v>0.52200000000000002</v>
      </c>
      <c r="E5">
        <v>7</v>
      </c>
    </row>
    <row r="6" spans="2:10">
      <c r="C6">
        <v>1.145</v>
      </c>
      <c r="D6">
        <v>0.36</v>
      </c>
      <c r="E6">
        <v>7.5</v>
      </c>
      <c r="G6" t="s">
        <v>11</v>
      </c>
    </row>
    <row r="7" spans="2:10">
      <c r="C7">
        <v>1.248</v>
      </c>
      <c r="D7">
        <v>0.20300000000000001</v>
      </c>
      <c r="E7">
        <v>8</v>
      </c>
      <c r="G7" t="s">
        <v>12</v>
      </c>
      <c r="H7" s="1" t="s">
        <v>2</v>
      </c>
      <c r="I7" s="1" t="s">
        <v>0</v>
      </c>
    </row>
    <row r="8" spans="2:10">
      <c r="C8">
        <v>1.385</v>
      </c>
      <c r="D8">
        <v>0.09</v>
      </c>
      <c r="E8">
        <v>9</v>
      </c>
      <c r="H8" s="1">
        <v>0</v>
      </c>
      <c r="I8" s="1">
        <v>1</v>
      </c>
    </row>
    <row r="9" spans="2:10">
      <c r="C9">
        <v>1.681</v>
      </c>
      <c r="D9">
        <v>3.6999999999999998E-2</v>
      </c>
      <c r="E9">
        <v>10</v>
      </c>
      <c r="H9" s="1">
        <v>0</v>
      </c>
      <c r="I9" s="1">
        <v>1</v>
      </c>
    </row>
    <row r="10" spans="2:10">
      <c r="C10">
        <v>1.8340000000000001</v>
      </c>
      <c r="D10">
        <v>5.0000000000000001E-3</v>
      </c>
      <c r="E10">
        <v>11</v>
      </c>
      <c r="G10" s="1"/>
      <c r="H10" s="1">
        <v>0</v>
      </c>
      <c r="I10" s="1">
        <v>1</v>
      </c>
    </row>
    <row r="11" spans="2:10">
      <c r="C11">
        <v>2.5249999999999999</v>
      </c>
      <c r="D11">
        <v>0</v>
      </c>
      <c r="E11">
        <v>14</v>
      </c>
      <c r="G11" s="1"/>
      <c r="H11" s="1">
        <v>0</v>
      </c>
      <c r="I11" s="1">
        <v>1</v>
      </c>
    </row>
    <row r="12" spans="2:10">
      <c r="C12">
        <v>2.95</v>
      </c>
      <c r="D12">
        <v>0</v>
      </c>
      <c r="E12">
        <v>16</v>
      </c>
      <c r="G12" s="1"/>
      <c r="H12" s="1">
        <v>0</v>
      </c>
      <c r="I12" s="1">
        <v>1</v>
      </c>
    </row>
    <row r="13" spans="2:10">
      <c r="G13" s="1"/>
      <c r="H13" s="1">
        <v>0</v>
      </c>
      <c r="I13" s="1">
        <v>1</v>
      </c>
    </row>
    <row r="14" spans="2:10">
      <c r="B14" t="s">
        <v>20</v>
      </c>
      <c r="G14" s="1"/>
      <c r="H14" s="1">
        <v>0</v>
      </c>
      <c r="I14" s="1">
        <v>1</v>
      </c>
    </row>
    <row r="15" spans="2:10">
      <c r="B15" t="s">
        <v>17</v>
      </c>
      <c r="G15" s="1"/>
      <c r="H15" s="1">
        <v>0</v>
      </c>
      <c r="I15" s="1">
        <v>1</v>
      </c>
    </row>
    <row r="16" spans="2:10">
      <c r="B16" t="s">
        <v>18</v>
      </c>
      <c r="G16" s="1"/>
      <c r="H16" s="1">
        <v>0</v>
      </c>
      <c r="I16" s="1">
        <v>1</v>
      </c>
    </row>
    <row r="17" spans="3:9">
      <c r="C17">
        <v>1.0669999999999999</v>
      </c>
      <c r="D17">
        <v>0.997</v>
      </c>
      <c r="E17">
        <v>5</v>
      </c>
      <c r="G17" s="1"/>
      <c r="H17" s="1">
        <v>0</v>
      </c>
      <c r="I17" s="1">
        <v>1</v>
      </c>
    </row>
    <row r="18" spans="3:9">
      <c r="C18">
        <v>1.105</v>
      </c>
      <c r="D18">
        <v>0.98099999999999998</v>
      </c>
      <c r="E18">
        <v>5.5</v>
      </c>
      <c r="G18" s="1"/>
      <c r="H18" s="1">
        <v>0.5</v>
      </c>
      <c r="I18" s="1">
        <v>0.98</v>
      </c>
    </row>
    <row r="19" spans="3:9">
      <c r="C19">
        <v>1.3779999999999999</v>
      </c>
      <c r="D19">
        <v>0.90200000000000002</v>
      </c>
      <c r="E19">
        <v>6</v>
      </c>
      <c r="G19" s="3"/>
      <c r="H19" s="1">
        <v>1</v>
      </c>
      <c r="I19" s="1">
        <v>0.97</v>
      </c>
    </row>
    <row r="20" spans="3:9">
      <c r="C20">
        <v>1.538</v>
      </c>
      <c r="D20">
        <v>0.76</v>
      </c>
      <c r="E20">
        <v>6.5</v>
      </c>
      <c r="G20" s="1"/>
      <c r="H20" s="1">
        <v>1</v>
      </c>
      <c r="I20" s="1">
        <v>0.98</v>
      </c>
    </row>
    <row r="21" spans="3:9">
      <c r="C21">
        <v>1.746</v>
      </c>
      <c r="D21">
        <v>0.54300000000000004</v>
      </c>
      <c r="E21">
        <v>7</v>
      </c>
      <c r="H21" s="1">
        <v>1</v>
      </c>
      <c r="I21" s="1">
        <v>0.99</v>
      </c>
    </row>
    <row r="22" spans="3:9">
      <c r="C22">
        <v>1.891</v>
      </c>
      <c r="D22">
        <v>0.42099999999999999</v>
      </c>
      <c r="E22">
        <v>7.5</v>
      </c>
      <c r="H22" s="1">
        <v>1</v>
      </c>
      <c r="I22" s="1">
        <v>0.99</v>
      </c>
    </row>
    <row r="23" spans="3:9">
      <c r="C23">
        <v>1.9610000000000001</v>
      </c>
      <c r="D23">
        <v>0.26300000000000001</v>
      </c>
      <c r="E23">
        <v>8</v>
      </c>
      <c r="H23" s="1">
        <v>1.583</v>
      </c>
      <c r="I23" s="1">
        <v>0.76</v>
      </c>
    </row>
    <row r="24" spans="3:9">
      <c r="C24">
        <v>2.1179999999999999</v>
      </c>
      <c r="D24">
        <v>0.154</v>
      </c>
      <c r="E24">
        <v>8.5</v>
      </c>
      <c r="H24" s="1">
        <v>1.625</v>
      </c>
      <c r="I24" s="1">
        <v>0.76</v>
      </c>
    </row>
    <row r="25" spans="3:9">
      <c r="C25">
        <v>2.246</v>
      </c>
      <c r="D25">
        <v>0.109</v>
      </c>
      <c r="E25">
        <v>9</v>
      </c>
      <c r="H25" s="1">
        <v>2.1419999999999999</v>
      </c>
      <c r="I25" s="1">
        <v>0.79</v>
      </c>
    </row>
    <row r="26" spans="3:9">
      <c r="C26">
        <v>2.48</v>
      </c>
      <c r="D26">
        <v>0.04</v>
      </c>
      <c r="E26">
        <v>10</v>
      </c>
      <c r="H26" s="1">
        <v>2.169</v>
      </c>
      <c r="I26" s="1">
        <v>0.47</v>
      </c>
    </row>
    <row r="27" spans="3:9">
      <c r="C27">
        <v>2.8559999999999999</v>
      </c>
      <c r="D27">
        <v>1.0999999999999999E-2</v>
      </c>
      <c r="E27">
        <v>11</v>
      </c>
      <c r="H27" s="1">
        <v>2.4540000000000002</v>
      </c>
      <c r="I27" s="1">
        <v>0.56000000000000005</v>
      </c>
    </row>
    <row r="28" spans="3:9">
      <c r="C28">
        <v>3.0739999999999998</v>
      </c>
      <c r="D28">
        <v>1.0999999999999999E-2</v>
      </c>
      <c r="E28">
        <v>12</v>
      </c>
      <c r="H28" s="1">
        <v>2.5</v>
      </c>
      <c r="I28" s="1">
        <v>0.8</v>
      </c>
    </row>
    <row r="29" spans="3:9">
      <c r="C29">
        <v>3.2959999999999998</v>
      </c>
      <c r="D29">
        <v>3.0000000000000001E-3</v>
      </c>
      <c r="E29">
        <v>13</v>
      </c>
      <c r="H29" s="2">
        <v>3.2</v>
      </c>
      <c r="I29" s="2">
        <v>0.15</v>
      </c>
    </row>
    <row r="30" spans="3:9">
      <c r="C30">
        <v>3.6520000000000001</v>
      </c>
      <c r="D30">
        <v>0</v>
      </c>
      <c r="E30">
        <v>14</v>
      </c>
      <c r="H30" s="1">
        <v>4.4470000000000001</v>
      </c>
      <c r="I30" s="1">
        <v>0.04</v>
      </c>
    </row>
    <row r="31" spans="3:9">
      <c r="C31">
        <v>4.2430000000000003</v>
      </c>
      <c r="D31">
        <v>0</v>
      </c>
      <c r="E31">
        <v>16</v>
      </c>
      <c r="H31" s="1">
        <v>5.0430000000000001</v>
      </c>
      <c r="I31" s="1">
        <v>7.0000000000000007E-2</v>
      </c>
    </row>
    <row r="32" spans="3:9">
      <c r="H32" s="1">
        <v>6.89</v>
      </c>
      <c r="I32" s="1">
        <v>0</v>
      </c>
    </row>
    <row r="33" spans="2:10">
      <c r="B33" t="s">
        <v>21</v>
      </c>
      <c r="G33" t="s">
        <v>24</v>
      </c>
    </row>
    <row r="34" spans="2:10">
      <c r="B34" t="s">
        <v>13</v>
      </c>
      <c r="G34" s="1" t="s">
        <v>16</v>
      </c>
    </row>
    <row r="35" spans="2:10">
      <c r="C35" s="1" t="s">
        <v>2</v>
      </c>
      <c r="D35" s="1" t="s">
        <v>0</v>
      </c>
      <c r="E35" t="s">
        <v>14</v>
      </c>
      <c r="H35" s="1" t="s">
        <v>2</v>
      </c>
      <c r="I35" s="1" t="s">
        <v>0</v>
      </c>
      <c r="J35" s="1" t="s">
        <v>19</v>
      </c>
    </row>
    <row r="36" spans="2:10">
      <c r="C36" s="1">
        <v>1.282</v>
      </c>
      <c r="D36" s="1">
        <v>0.92900000000000005</v>
      </c>
      <c r="E36">
        <v>0.3</v>
      </c>
      <c r="H36" s="1">
        <v>2.72</v>
      </c>
      <c r="I36" s="1">
        <v>0.41</v>
      </c>
      <c r="J36" s="1">
        <v>0.75</v>
      </c>
    </row>
    <row r="37" spans="2:10">
      <c r="C37" s="1">
        <v>1.4410000000000001</v>
      </c>
      <c r="D37" s="1">
        <v>0.88600000000000001</v>
      </c>
      <c r="E37">
        <v>0.4</v>
      </c>
      <c r="H37" s="1">
        <v>3.6429999999999998</v>
      </c>
      <c r="I37" s="1">
        <v>0.13</v>
      </c>
      <c r="J37" s="1">
        <v>0.5</v>
      </c>
    </row>
    <row r="38" spans="2:10">
      <c r="C38">
        <v>1.5860000000000001</v>
      </c>
      <c r="D38">
        <v>0.77800000000000002</v>
      </c>
      <c r="E38">
        <v>0.5</v>
      </c>
      <c r="H38" s="1">
        <v>3.3119999999999998</v>
      </c>
      <c r="I38" s="1">
        <v>0.28499999999999998</v>
      </c>
      <c r="J38" s="1">
        <v>0.4</v>
      </c>
    </row>
    <row r="39" spans="2:10">
      <c r="C39">
        <v>1.617</v>
      </c>
      <c r="D39">
        <v>0.66300000000000003</v>
      </c>
      <c r="E39">
        <v>0.6</v>
      </c>
      <c r="G39" s="1"/>
      <c r="H39" s="1">
        <v>4.7119999999999997</v>
      </c>
      <c r="I39" s="1">
        <v>0.01</v>
      </c>
      <c r="J39" s="1">
        <v>0.2</v>
      </c>
    </row>
    <row r="40" spans="2:10">
      <c r="C40">
        <v>1.7210000000000001</v>
      </c>
      <c r="D40">
        <v>0.47599999999999998</v>
      </c>
      <c r="E40">
        <v>0.7</v>
      </c>
      <c r="H40" s="1">
        <v>3.2719999999999998</v>
      </c>
      <c r="I40" s="1">
        <v>0.12</v>
      </c>
      <c r="J40" s="1">
        <v>0.1</v>
      </c>
    </row>
    <row r="41" spans="2:10">
      <c r="C41">
        <v>1.867</v>
      </c>
      <c r="D41">
        <v>0.29099999999999998</v>
      </c>
      <c r="E41">
        <v>0.8</v>
      </c>
      <c r="H41" s="1">
        <v>4.3789999999999996</v>
      </c>
      <c r="I41" s="1">
        <v>2.5000000000000001E-2</v>
      </c>
      <c r="J41" s="1">
        <v>0.05</v>
      </c>
    </row>
    <row r="42" spans="2:10">
      <c r="C42">
        <v>2.274</v>
      </c>
      <c r="D42">
        <v>0.123</v>
      </c>
      <c r="E42" s="1">
        <v>0.9</v>
      </c>
      <c r="H42" s="1">
        <v>6.2450000000000001</v>
      </c>
      <c r="I42" s="1">
        <v>0</v>
      </c>
      <c r="J42" s="1">
        <v>2E-3</v>
      </c>
    </row>
    <row r="43" spans="2:10">
      <c r="C43">
        <v>2.4590000000000001</v>
      </c>
      <c r="D43">
        <v>5.0999999999999997E-2</v>
      </c>
      <c r="E43">
        <v>0.95</v>
      </c>
    </row>
    <row r="44" spans="2:10">
      <c r="C44">
        <v>2.9380000000000002</v>
      </c>
      <c r="D44">
        <v>1.7000000000000001E-2</v>
      </c>
      <c r="E44">
        <v>0.98</v>
      </c>
    </row>
    <row r="45" spans="2:10">
      <c r="C45">
        <v>3.6219999999999999</v>
      </c>
      <c r="D45">
        <v>8.0000000000000002E-3</v>
      </c>
      <c r="E45">
        <v>0.99</v>
      </c>
    </row>
    <row r="46" spans="2:10">
      <c r="B46" s="1" t="s">
        <v>21</v>
      </c>
      <c r="G46" t="s">
        <v>25</v>
      </c>
    </row>
    <row r="47" spans="2:10">
      <c r="B47" t="s">
        <v>15</v>
      </c>
      <c r="G47" s="1" t="s">
        <v>16</v>
      </c>
    </row>
    <row r="48" spans="2:10">
      <c r="C48" s="1" t="s">
        <v>2</v>
      </c>
      <c r="D48" s="1" t="s">
        <v>0</v>
      </c>
      <c r="E48" s="1" t="s">
        <v>14</v>
      </c>
      <c r="H48" s="1" t="s">
        <v>2</v>
      </c>
      <c r="I48" s="1" t="s">
        <v>0</v>
      </c>
      <c r="J48" s="1" t="s">
        <v>19</v>
      </c>
    </row>
    <row r="49" spans="3:13">
      <c r="C49" s="4">
        <v>3.9340000000000002</v>
      </c>
      <c r="D49" s="4">
        <v>0.81699999999999995</v>
      </c>
      <c r="E49" s="4">
        <v>0.5</v>
      </c>
      <c r="H49" s="1">
        <v>2.72</v>
      </c>
      <c r="I49" s="1">
        <v>0.41</v>
      </c>
      <c r="J49" s="1">
        <v>0.75</v>
      </c>
      <c r="K49" s="1">
        <v>2.72</v>
      </c>
      <c r="L49" s="1">
        <v>0.41</v>
      </c>
      <c r="M49" s="1">
        <v>0.75</v>
      </c>
    </row>
    <row r="50" spans="3:13">
      <c r="C50" s="4">
        <v>4.3289999999999997</v>
      </c>
      <c r="D50" s="4">
        <v>0.71399999999999997</v>
      </c>
      <c r="E50" s="4">
        <v>0.6</v>
      </c>
      <c r="K50" s="1">
        <v>2.65</v>
      </c>
      <c r="L50" s="1">
        <v>0.48</v>
      </c>
      <c r="M50" s="1">
        <v>0.75</v>
      </c>
    </row>
    <row r="51" spans="3:13">
      <c r="C51" s="4">
        <v>4.4139999999999997</v>
      </c>
      <c r="D51" s="4">
        <v>0.54800000000000004</v>
      </c>
      <c r="E51" s="4">
        <v>0.7</v>
      </c>
      <c r="G51" t="s">
        <v>23</v>
      </c>
      <c r="H51" s="1"/>
      <c r="I51" s="1"/>
      <c r="J51" s="1"/>
      <c r="K51" s="1">
        <v>2.843</v>
      </c>
      <c r="L51" s="1">
        <v>0.42499999999999999</v>
      </c>
      <c r="M51" s="1">
        <v>0.5</v>
      </c>
    </row>
    <row r="52" spans="3:13">
      <c r="C52" s="4">
        <v>4.5030000000000001</v>
      </c>
      <c r="D52" s="4">
        <v>0.36</v>
      </c>
      <c r="E52" s="4">
        <v>0.8</v>
      </c>
      <c r="H52" s="1">
        <v>2.9009999999999998</v>
      </c>
      <c r="I52" s="1">
        <v>8.5000000000000006E-2</v>
      </c>
      <c r="J52" s="1">
        <v>0.5</v>
      </c>
      <c r="K52" s="1">
        <v>2.9009999999999998</v>
      </c>
      <c r="L52" s="1">
        <v>8.5000000000000006E-2</v>
      </c>
      <c r="M52" s="1">
        <v>0.5</v>
      </c>
    </row>
    <row r="53" spans="3:13">
      <c r="C53" s="1">
        <v>5.0694999999999997</v>
      </c>
      <c r="D53" s="1">
        <v>0.15899999999999997</v>
      </c>
      <c r="E53" s="4">
        <v>0.9</v>
      </c>
      <c r="K53" s="1">
        <v>3.3530000000000002</v>
      </c>
      <c r="L53" s="1">
        <v>0.33500000000000002</v>
      </c>
      <c r="M53" s="1">
        <v>0.5</v>
      </c>
    </row>
    <row r="54" spans="3:13">
      <c r="C54" s="4">
        <v>5.21</v>
      </c>
      <c r="D54" s="4">
        <v>9.7000000000000003E-2</v>
      </c>
      <c r="E54" s="4">
        <v>0.93</v>
      </c>
      <c r="K54" s="1">
        <v>3.4430000000000001</v>
      </c>
      <c r="L54" s="1">
        <v>0.155</v>
      </c>
      <c r="M54" s="1">
        <v>0.5</v>
      </c>
    </row>
    <row r="55" spans="3:13">
      <c r="C55" s="4">
        <v>5.4820000000000002</v>
      </c>
      <c r="D55" s="4">
        <v>4.8000000000000001E-2</v>
      </c>
      <c r="E55" s="4">
        <v>0.96</v>
      </c>
      <c r="K55" s="1">
        <v>3.5720000000000001</v>
      </c>
      <c r="L55" s="1">
        <v>0.1</v>
      </c>
      <c r="M55" s="1">
        <v>0.5</v>
      </c>
    </row>
    <row r="56" spans="3:13">
      <c r="C56" s="4">
        <v>5.6879999999999997</v>
      </c>
      <c r="D56" s="4">
        <v>2.1000000000000001E-2</v>
      </c>
      <c r="E56" s="5">
        <v>0.98</v>
      </c>
      <c r="K56" s="1">
        <v>3.6429999999999998</v>
      </c>
      <c r="L56" s="1">
        <v>0.115</v>
      </c>
      <c r="M56" s="1">
        <v>0.5</v>
      </c>
    </row>
    <row r="57" spans="3:13">
      <c r="C57" s="1">
        <v>5.968</v>
      </c>
      <c r="D57" s="1">
        <v>9.4999999999999998E-3</v>
      </c>
      <c r="E57" s="4">
        <v>0.99</v>
      </c>
      <c r="G57" s="1"/>
      <c r="H57" s="1">
        <v>3.6429999999999998</v>
      </c>
      <c r="I57" s="1">
        <v>0.13</v>
      </c>
      <c r="J57" s="1">
        <v>0.5</v>
      </c>
      <c r="K57" s="1">
        <v>3.6429999999999998</v>
      </c>
      <c r="L57" s="1">
        <v>0.13</v>
      </c>
      <c r="M57" s="1">
        <v>0.5</v>
      </c>
    </row>
    <row r="58" spans="3:13">
      <c r="C58" s="1">
        <v>5.9704999999999995</v>
      </c>
      <c r="D58" s="1">
        <v>9.4999999999999998E-3</v>
      </c>
      <c r="E58" s="4">
        <v>0.995</v>
      </c>
      <c r="K58" s="1">
        <v>3.9710000000000001</v>
      </c>
      <c r="L58" s="1">
        <v>8.5000000000000006E-2</v>
      </c>
      <c r="M58" s="1">
        <v>0.5</v>
      </c>
    </row>
    <row r="59" spans="3:13">
      <c r="K59" s="1">
        <v>4.4379999999999997</v>
      </c>
      <c r="L59" s="1">
        <v>0.03</v>
      </c>
      <c r="M59" s="1">
        <v>0.5</v>
      </c>
    </row>
    <row r="60" spans="3:13">
      <c r="H60" s="1"/>
      <c r="I60" s="1"/>
      <c r="J60" s="1"/>
      <c r="K60" s="1">
        <v>2.992</v>
      </c>
      <c r="L60" s="1">
        <v>0.33500000000000002</v>
      </c>
      <c r="M60" s="1">
        <v>0.4</v>
      </c>
    </row>
    <row r="61" spans="3:13">
      <c r="G61" s="1"/>
      <c r="H61" s="1">
        <v>3.3119999999999998</v>
      </c>
      <c r="I61" s="1">
        <v>0.28499999999999998</v>
      </c>
      <c r="J61" s="1">
        <v>0.4</v>
      </c>
      <c r="K61" s="1">
        <v>3.3119999999999998</v>
      </c>
      <c r="L61" s="1">
        <v>0.28499999999999998</v>
      </c>
      <c r="M61" s="1">
        <v>0.4</v>
      </c>
    </row>
    <row r="62" spans="3:13">
      <c r="G62" s="1"/>
      <c r="H62" s="1">
        <v>4.7119999999999997</v>
      </c>
      <c r="I62" s="1">
        <v>0.01</v>
      </c>
      <c r="J62" s="1">
        <v>0.2</v>
      </c>
      <c r="K62" s="1">
        <v>4.7119999999999997</v>
      </c>
      <c r="L62" s="1">
        <v>0.01</v>
      </c>
      <c r="M62" s="1">
        <v>0.2</v>
      </c>
    </row>
    <row r="63" spans="3:13">
      <c r="K63" s="1">
        <v>3.65</v>
      </c>
      <c r="L63" s="1">
        <v>0.215</v>
      </c>
      <c r="M63" s="1">
        <v>0.2</v>
      </c>
    </row>
    <row r="64" spans="3:13">
      <c r="H64" s="1">
        <v>3.2719999999999998</v>
      </c>
      <c r="I64" s="1">
        <v>0.12</v>
      </c>
      <c r="J64" s="1">
        <v>0.1</v>
      </c>
      <c r="K64" s="1">
        <v>3.2719999999999998</v>
      </c>
      <c r="L64" s="1">
        <v>0.12</v>
      </c>
      <c r="M64" s="1">
        <v>0.1</v>
      </c>
    </row>
    <row r="65" spans="7:13">
      <c r="K65" s="1">
        <v>3.3610000000000002</v>
      </c>
      <c r="L65" s="1">
        <v>0.1</v>
      </c>
      <c r="M65" s="1">
        <v>0.1</v>
      </c>
    </row>
    <row r="66" spans="7:13">
      <c r="H66" s="1"/>
      <c r="I66" s="1"/>
      <c r="J66" s="1"/>
      <c r="K66" s="1">
        <v>4.0149999999999997</v>
      </c>
      <c r="L66" s="1">
        <v>0.04</v>
      </c>
      <c r="M66" s="1">
        <v>0.05</v>
      </c>
    </row>
    <row r="67" spans="7:13">
      <c r="H67" s="1">
        <v>4.3789999999999996</v>
      </c>
      <c r="I67" s="1">
        <v>2.5000000000000001E-2</v>
      </c>
      <c r="J67" s="1">
        <v>0.05</v>
      </c>
      <c r="K67" s="1">
        <v>4.3789999999999996</v>
      </c>
      <c r="L67" s="1">
        <v>2.5000000000000001E-2</v>
      </c>
      <c r="M67" s="1">
        <v>0.05</v>
      </c>
    </row>
    <row r="68" spans="7:13">
      <c r="G68" t="s">
        <v>22</v>
      </c>
      <c r="H68" s="1"/>
      <c r="I68" s="1"/>
      <c r="J68" s="1"/>
      <c r="K68" s="1">
        <v>14.6</v>
      </c>
      <c r="L68" s="1">
        <v>0</v>
      </c>
      <c r="M68" s="1">
        <v>2E-3</v>
      </c>
    </row>
    <row r="69" spans="7:13">
      <c r="H69" s="1">
        <v>6.2450000000000001</v>
      </c>
      <c r="I69" s="1">
        <v>0</v>
      </c>
      <c r="J69" s="1">
        <v>2E-3</v>
      </c>
      <c r="K69" s="1">
        <v>6.2450000000000001</v>
      </c>
      <c r="L69" s="1">
        <v>0</v>
      </c>
      <c r="M69" s="1">
        <v>2E-3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topLeftCell="A5" workbookViewId="0">
      <selection activeCell="R23" sqref="R23"/>
    </sheetView>
  </sheetViews>
  <sheetFormatPr defaultRowHeight="13.5"/>
  <sheetData>
    <row r="1" spans="8:12" ht="15">
      <c r="H1" s="6"/>
      <c r="I1" s="6"/>
      <c r="J1" s="6"/>
      <c r="K1" s="6"/>
      <c r="L1" s="6"/>
    </row>
    <row r="2" spans="8:12" ht="15">
      <c r="H2" s="6"/>
      <c r="I2" s="6"/>
      <c r="J2" s="6"/>
      <c r="K2" s="6"/>
      <c r="L2" s="6"/>
    </row>
    <row r="3" spans="8:12" ht="15">
      <c r="H3" s="6"/>
      <c r="I3" s="6"/>
      <c r="J3" s="6"/>
      <c r="K3" s="6"/>
      <c r="L3" s="6"/>
    </row>
    <row r="4" spans="8:12" ht="15">
      <c r="H4" s="6"/>
      <c r="I4" s="6"/>
      <c r="J4" s="6"/>
      <c r="K4" s="6"/>
      <c r="L4" s="6"/>
    </row>
    <row r="5" spans="8:12" ht="15">
      <c r="H5" s="6"/>
      <c r="I5" s="6"/>
      <c r="J5" s="6"/>
      <c r="K5" s="6"/>
      <c r="L5" s="6"/>
    </row>
    <row r="6" spans="8:12" ht="15">
      <c r="H6" s="6"/>
      <c r="I6" s="6"/>
      <c r="J6" s="6"/>
      <c r="K6" s="6"/>
      <c r="L6" s="6"/>
    </row>
    <row r="7" spans="8:12" ht="15">
      <c r="H7" s="6"/>
      <c r="I7" s="6"/>
      <c r="J7" s="6"/>
      <c r="K7" s="6"/>
      <c r="L7" s="6"/>
    </row>
    <row r="8" spans="8:12" ht="15">
      <c r="H8" s="6"/>
      <c r="I8" s="6"/>
      <c r="J8" s="6"/>
      <c r="K8" s="6"/>
      <c r="L8" s="6"/>
    </row>
    <row r="9" spans="8:12" ht="15">
      <c r="H9" s="6"/>
      <c r="I9" s="6"/>
      <c r="J9" s="6"/>
      <c r="K9" s="6"/>
      <c r="L9" s="6"/>
    </row>
    <row r="10" spans="8:12" ht="15">
      <c r="H10" s="6"/>
      <c r="I10" s="6"/>
      <c r="J10" s="6"/>
      <c r="K10" s="6"/>
      <c r="L10" s="6"/>
    </row>
    <row r="11" spans="8:12" ht="15">
      <c r="H11" s="6"/>
      <c r="I11" s="6"/>
      <c r="J11" s="6"/>
      <c r="K11" s="6"/>
      <c r="L11" s="6"/>
    </row>
    <row r="12" spans="8:12" ht="15">
      <c r="H12" s="6"/>
      <c r="I12" s="6"/>
      <c r="J12" s="6"/>
      <c r="K12" s="6"/>
      <c r="L12" s="6"/>
    </row>
    <row r="13" spans="8:12" ht="15">
      <c r="H13" s="6"/>
      <c r="I13" s="6"/>
      <c r="J13" s="6"/>
      <c r="K13" s="6"/>
      <c r="L13" s="6"/>
    </row>
    <row r="14" spans="8:12" ht="15">
      <c r="H14" s="6"/>
      <c r="I14" s="6"/>
      <c r="J14" s="6"/>
      <c r="K14" s="6"/>
      <c r="L14" s="6"/>
    </row>
    <row r="15" spans="8:12" ht="15">
      <c r="H15" s="6"/>
      <c r="I15" s="6"/>
      <c r="J15" s="6"/>
      <c r="K15" s="6"/>
      <c r="L15" s="6"/>
    </row>
    <row r="16" spans="8:12" ht="15">
      <c r="H16" s="6"/>
      <c r="I16" s="6"/>
      <c r="J16" s="6"/>
      <c r="K16" s="6"/>
      <c r="L16" s="6"/>
    </row>
    <row r="17" spans="1:16" ht="15">
      <c r="H17" s="6"/>
      <c r="I17" s="6"/>
      <c r="J17" s="6"/>
      <c r="K17" s="6"/>
      <c r="L17" s="6"/>
    </row>
    <row r="18" spans="1:16" ht="15">
      <c r="H18" s="6"/>
      <c r="I18" s="6"/>
      <c r="J18" s="6"/>
      <c r="K18" s="6"/>
      <c r="L18" s="6"/>
    </row>
    <row r="19" spans="1:16" ht="15">
      <c r="H19" s="6"/>
      <c r="I19" s="6"/>
      <c r="J19" s="6"/>
      <c r="K19" s="6"/>
      <c r="L19" s="6"/>
    </row>
    <row r="20" spans="1:16" ht="21">
      <c r="H20" s="30" t="s">
        <v>102</v>
      </c>
      <c r="I20" s="6"/>
      <c r="J20" s="6"/>
      <c r="K20" s="6"/>
      <c r="L20" s="6"/>
    </row>
    <row r="21" spans="1:16" ht="15">
      <c r="H21" s="6"/>
      <c r="I21" s="6"/>
      <c r="J21" s="6"/>
      <c r="K21" s="6"/>
      <c r="L21" s="6"/>
    </row>
    <row r="22" spans="1:16" ht="15">
      <c r="I22" s="6"/>
      <c r="J22" s="6"/>
      <c r="K22" s="6"/>
      <c r="L22" s="6"/>
    </row>
    <row r="23" spans="1:16" ht="21">
      <c r="H23" s="31" t="s">
        <v>104</v>
      </c>
      <c r="I23" s="16"/>
      <c r="J23" s="16"/>
      <c r="K23" s="16"/>
      <c r="L23" s="16"/>
      <c r="M23" s="20" t="s">
        <v>105</v>
      </c>
    </row>
    <row r="24" spans="1:16" ht="15">
      <c r="H24" s="6" t="s">
        <v>28</v>
      </c>
      <c r="I24" s="6"/>
      <c r="J24" s="6"/>
      <c r="K24" s="6"/>
      <c r="L24" s="6"/>
      <c r="M24" s="6" t="s">
        <v>28</v>
      </c>
    </row>
    <row r="25" spans="1:16" ht="15">
      <c r="H25" s="6" t="s">
        <v>29</v>
      </c>
      <c r="I25" s="6"/>
      <c r="J25" s="6"/>
      <c r="K25" s="6"/>
      <c r="L25" s="6"/>
      <c r="M25" s="6" t="s">
        <v>29</v>
      </c>
    </row>
    <row r="26" spans="1:16" ht="15">
      <c r="H26" s="6"/>
      <c r="I26" s="6"/>
      <c r="J26" s="6"/>
      <c r="K26" s="6"/>
      <c r="L26" s="6"/>
      <c r="P26" s="6"/>
    </row>
    <row r="27" spans="1:16" s="3" customFormat="1" ht="15">
      <c r="H27" s="7" t="s">
        <v>1</v>
      </c>
      <c r="I27" s="7" t="s">
        <v>2</v>
      </c>
      <c r="J27" s="7" t="s">
        <v>43</v>
      </c>
      <c r="K27" s="7" t="s">
        <v>44</v>
      </c>
      <c r="L27" s="7"/>
      <c r="M27" s="7" t="s">
        <v>1</v>
      </c>
      <c r="N27" s="7" t="s">
        <v>2</v>
      </c>
      <c r="O27" s="7" t="s">
        <v>43</v>
      </c>
      <c r="P27" s="7" t="s">
        <v>44</v>
      </c>
    </row>
    <row r="28" spans="1:16" ht="15">
      <c r="H28" s="6">
        <v>0.1</v>
      </c>
      <c r="I28" s="6">
        <v>0</v>
      </c>
      <c r="J28" s="6">
        <v>2405</v>
      </c>
      <c r="K28" s="6">
        <v>64.364999999999995</v>
      </c>
      <c r="L28" s="6"/>
      <c r="M28" s="6">
        <v>0.3</v>
      </c>
      <c r="N28" s="6">
        <v>0</v>
      </c>
      <c r="O28" s="6">
        <v>3504</v>
      </c>
      <c r="P28" s="6">
        <v>40.49</v>
      </c>
    </row>
    <row r="29" spans="1:16" ht="15">
      <c r="A29" s="1"/>
      <c r="C29" s="1"/>
      <c r="H29" s="6">
        <v>0.3</v>
      </c>
      <c r="I29" s="6">
        <v>0</v>
      </c>
      <c r="J29" s="6">
        <v>2261</v>
      </c>
      <c r="K29" s="6">
        <v>69.628</v>
      </c>
      <c r="L29" s="6"/>
      <c r="M29" s="6">
        <v>0.5</v>
      </c>
      <c r="N29" s="6">
        <v>0</v>
      </c>
      <c r="O29" s="6">
        <v>3296</v>
      </c>
      <c r="P29" s="6">
        <v>43.66</v>
      </c>
    </row>
    <row r="30" spans="1:16" ht="15">
      <c r="A30" s="1"/>
      <c r="B30" s="1"/>
      <c r="C30" s="1"/>
      <c r="H30" s="6">
        <v>0.5</v>
      </c>
      <c r="I30" s="6">
        <v>1E-3</v>
      </c>
      <c r="J30" s="6">
        <v>1792</v>
      </c>
      <c r="K30" s="6">
        <v>89.536000000000001</v>
      </c>
      <c r="L30" s="6"/>
      <c r="M30" s="6">
        <v>0.8</v>
      </c>
      <c r="N30" s="6">
        <v>0</v>
      </c>
      <c r="O30" s="6">
        <v>2720</v>
      </c>
      <c r="P30" s="6">
        <v>52.7</v>
      </c>
    </row>
    <row r="31" spans="1:16" ht="15">
      <c r="A31" s="1"/>
      <c r="B31" s="1"/>
      <c r="C31" s="1"/>
      <c r="H31" s="6">
        <v>0.7</v>
      </c>
      <c r="I31" s="6">
        <v>1E-3</v>
      </c>
      <c r="J31" s="6">
        <v>709</v>
      </c>
      <c r="K31" s="6">
        <v>230.07</v>
      </c>
      <c r="L31" s="6"/>
      <c r="M31" s="6">
        <v>0.9</v>
      </c>
      <c r="N31" s="6">
        <v>0</v>
      </c>
      <c r="O31" s="6">
        <v>1654</v>
      </c>
      <c r="P31" s="6">
        <v>98.2</v>
      </c>
    </row>
    <row r="32" spans="1:16" ht="15">
      <c r="A32" s="1"/>
      <c r="B32" s="1"/>
      <c r="C32" s="1"/>
      <c r="H32" s="6">
        <v>0.8</v>
      </c>
      <c r="I32" s="6">
        <v>1E-3</v>
      </c>
      <c r="J32" s="6">
        <v>564</v>
      </c>
      <c r="K32" s="6">
        <v>291.2</v>
      </c>
      <c r="L32" s="6"/>
      <c r="M32" s="6">
        <v>0.92</v>
      </c>
      <c r="N32" s="6">
        <v>1E-3</v>
      </c>
      <c r="O32" s="6">
        <v>1549</v>
      </c>
      <c r="P32" s="6">
        <v>105.41</v>
      </c>
    </row>
    <row r="33" spans="1:16" ht="15">
      <c r="A33" s="1"/>
      <c r="B33" s="1"/>
      <c r="C33" s="1"/>
      <c r="H33" s="6">
        <v>0.85</v>
      </c>
      <c r="I33" s="6">
        <v>2E-3</v>
      </c>
      <c r="J33" s="6">
        <v>436</v>
      </c>
      <c r="K33" s="6">
        <v>376.69</v>
      </c>
      <c r="L33" s="6"/>
      <c r="M33" s="6">
        <v>0.93</v>
      </c>
      <c r="N33" s="6">
        <v>1E-3</v>
      </c>
      <c r="O33" s="6">
        <v>1459</v>
      </c>
      <c r="P33" s="6">
        <v>112.57</v>
      </c>
    </row>
    <row r="34" spans="1:16" ht="15">
      <c r="A34" s="1"/>
      <c r="B34" s="1"/>
      <c r="C34" s="1"/>
      <c r="H34" s="6">
        <v>0.86</v>
      </c>
      <c r="I34" s="6">
        <v>4.0000000000000001E-3</v>
      </c>
      <c r="J34" s="6">
        <v>410</v>
      </c>
      <c r="K34" s="6">
        <v>400.58</v>
      </c>
      <c r="L34" s="6"/>
      <c r="M34" s="6">
        <v>0.94</v>
      </c>
      <c r="N34" s="6">
        <v>1E-3</v>
      </c>
      <c r="O34" s="6">
        <v>1294</v>
      </c>
      <c r="P34" s="6">
        <v>126.92</v>
      </c>
    </row>
    <row r="35" spans="1:16" ht="15">
      <c r="A35" s="1"/>
      <c r="B35" s="1"/>
      <c r="C35" s="1"/>
      <c r="H35" s="6">
        <v>0.87</v>
      </c>
      <c r="I35" s="6">
        <v>5.0000000000000001E-3</v>
      </c>
      <c r="J35" s="6">
        <v>402</v>
      </c>
      <c r="K35" s="6">
        <v>408.55</v>
      </c>
      <c r="L35" s="6"/>
      <c r="M35" s="6">
        <v>0.95</v>
      </c>
      <c r="N35" s="6">
        <v>1E-3</v>
      </c>
      <c r="O35" s="6">
        <v>1263</v>
      </c>
      <c r="P35" s="6">
        <v>130.04</v>
      </c>
    </row>
    <row r="36" spans="1:16" ht="15">
      <c r="A36" s="1"/>
      <c r="B36" s="1"/>
      <c r="C36" s="1"/>
      <c r="H36" s="6">
        <v>0.88</v>
      </c>
      <c r="I36" s="6">
        <v>7.0000000000000001E-3</v>
      </c>
      <c r="J36" s="6">
        <v>391</v>
      </c>
      <c r="K36" s="6">
        <v>420.05</v>
      </c>
      <c r="L36" s="6"/>
      <c r="M36" s="6">
        <v>0.95499999999999996</v>
      </c>
      <c r="N36" s="6">
        <v>1E-3</v>
      </c>
      <c r="O36" s="6">
        <v>943</v>
      </c>
      <c r="P36" s="6">
        <v>174.17</v>
      </c>
    </row>
    <row r="37" spans="1:16" ht="15">
      <c r="A37" s="1"/>
      <c r="B37" s="1"/>
      <c r="C37" s="1"/>
      <c r="H37" s="6">
        <v>0.89</v>
      </c>
      <c r="I37" s="6">
        <v>2.1000000000000001E-2</v>
      </c>
      <c r="J37" s="6">
        <v>328</v>
      </c>
      <c r="K37" s="6">
        <v>500.73</v>
      </c>
      <c r="L37" s="6"/>
      <c r="M37" s="6">
        <v>0.96</v>
      </c>
      <c r="N37" s="6">
        <v>1E-3</v>
      </c>
      <c r="O37" s="6">
        <v>923</v>
      </c>
      <c r="P37" s="6">
        <v>177.94</v>
      </c>
    </row>
    <row r="38" spans="1:16" ht="15">
      <c r="A38" s="1"/>
      <c r="B38" s="1"/>
      <c r="C38" s="1"/>
      <c r="H38" s="6">
        <v>0.9</v>
      </c>
      <c r="I38" s="6">
        <v>5.8000000000000003E-2</v>
      </c>
      <c r="J38" s="6">
        <v>302</v>
      </c>
      <c r="K38" s="6">
        <v>543.84</v>
      </c>
      <c r="L38" s="6"/>
      <c r="M38" s="6">
        <v>0.96499999999999997</v>
      </c>
      <c r="N38" s="6">
        <v>2E-3</v>
      </c>
      <c r="O38" s="6">
        <v>886</v>
      </c>
      <c r="P38" s="6">
        <v>185.37</v>
      </c>
    </row>
    <row r="39" spans="1:16" ht="15">
      <c r="A39" s="1"/>
      <c r="B39" s="1"/>
      <c r="C39" s="1"/>
      <c r="H39" s="6">
        <v>0.92</v>
      </c>
      <c r="I39" s="6">
        <v>9.5000000000000001E-2</v>
      </c>
      <c r="J39" s="6">
        <v>292</v>
      </c>
      <c r="K39" s="6">
        <v>562.46</v>
      </c>
      <c r="L39" s="6"/>
      <c r="M39" s="6">
        <v>0.97</v>
      </c>
      <c r="N39" s="6">
        <v>5.0000000000000001E-3</v>
      </c>
      <c r="O39" s="6">
        <v>867</v>
      </c>
      <c r="P39" s="6">
        <v>189.43</v>
      </c>
    </row>
    <row r="40" spans="1:16" ht="15">
      <c r="A40" s="1"/>
      <c r="B40" s="1"/>
      <c r="C40" s="1"/>
      <c r="H40" s="6">
        <v>0.94</v>
      </c>
      <c r="I40" s="6">
        <v>0.27700000000000002</v>
      </c>
      <c r="J40" s="6">
        <v>259</v>
      </c>
      <c r="K40" s="6">
        <v>634.13</v>
      </c>
      <c r="L40" s="6"/>
      <c r="M40" s="6">
        <v>0.97499999999999998</v>
      </c>
      <c r="N40" s="6">
        <v>6.8000000000000005E-2</v>
      </c>
      <c r="O40" s="6">
        <v>702</v>
      </c>
      <c r="P40" s="6">
        <v>233.96</v>
      </c>
    </row>
    <row r="41" spans="1:16" ht="15">
      <c r="A41" s="1"/>
      <c r="B41" s="1"/>
      <c r="C41" s="1"/>
      <c r="H41" s="6">
        <v>0.96</v>
      </c>
      <c r="I41" s="6">
        <v>0.54</v>
      </c>
      <c r="J41" s="6">
        <v>239</v>
      </c>
      <c r="K41" s="6">
        <v>687.19</v>
      </c>
      <c r="L41" s="6"/>
      <c r="M41" s="6">
        <v>0.98</v>
      </c>
      <c r="N41" s="6">
        <v>0.251</v>
      </c>
      <c r="O41" s="6">
        <v>505</v>
      </c>
      <c r="P41" s="6">
        <v>325.23</v>
      </c>
    </row>
    <row r="42" spans="1:16" ht="15">
      <c r="A42" s="1"/>
      <c r="B42" s="1"/>
      <c r="C42" s="1"/>
      <c r="H42" s="6">
        <v>0.98</v>
      </c>
      <c r="I42" s="6">
        <v>0.95399999999999996</v>
      </c>
      <c r="J42" s="6">
        <v>228</v>
      </c>
      <c r="K42" s="6">
        <v>720.35</v>
      </c>
      <c r="L42" s="6"/>
      <c r="M42" s="6">
        <v>0.99</v>
      </c>
      <c r="N42" s="6">
        <v>1.075</v>
      </c>
      <c r="O42" s="6">
        <v>313</v>
      </c>
      <c r="P42" s="6">
        <v>524.73</v>
      </c>
    </row>
    <row r="43" spans="1:16" ht="15">
      <c r="B43" s="1"/>
      <c r="C43" s="1"/>
      <c r="H43" s="6">
        <v>0.99</v>
      </c>
      <c r="I43" s="6">
        <v>1.7190000000000001</v>
      </c>
      <c r="J43" s="6">
        <v>227</v>
      </c>
      <c r="K43" s="6">
        <v>723.52</v>
      </c>
      <c r="L43" s="6"/>
      <c r="M43" s="6">
        <v>0.999</v>
      </c>
      <c r="N43" s="6" t="s">
        <v>103</v>
      </c>
      <c r="O43" s="6">
        <v>0</v>
      </c>
      <c r="P43" s="6" t="s">
        <v>103</v>
      </c>
    </row>
    <row r="44" spans="1:16" ht="15">
      <c r="B44" s="1"/>
      <c r="C44" s="1"/>
      <c r="H44" s="6">
        <v>0.995</v>
      </c>
      <c r="I44" s="6">
        <v>2.6349999999999998</v>
      </c>
      <c r="J44" s="6">
        <v>226</v>
      </c>
      <c r="K44" s="6">
        <v>726.72</v>
      </c>
      <c r="L44" s="6"/>
    </row>
    <row r="45" spans="1:16" ht="15">
      <c r="H45" s="6">
        <v>0.999</v>
      </c>
      <c r="I45" s="6" t="s">
        <v>103</v>
      </c>
      <c r="J45" s="6">
        <v>0</v>
      </c>
      <c r="K45" s="6" t="s">
        <v>101</v>
      </c>
      <c r="L45" s="6"/>
    </row>
    <row r="46" spans="1:16" ht="15">
      <c r="H46" s="6"/>
      <c r="I46" s="6"/>
      <c r="J46" s="6"/>
      <c r="K46" s="6"/>
      <c r="L46" s="6"/>
    </row>
    <row r="47" spans="1:16" ht="15">
      <c r="H47" s="6"/>
      <c r="I47" s="6"/>
      <c r="J47" s="6"/>
      <c r="K47" s="6"/>
      <c r="L47" s="6"/>
    </row>
    <row r="48" spans="1:16" ht="15">
      <c r="H48" s="6"/>
      <c r="I48" s="6"/>
      <c r="J48" s="6"/>
      <c r="K48" s="6"/>
      <c r="L48" s="6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Tradeoff &amp; ROC</vt:lpstr>
      <vt:lpstr>RNN+Reg</vt:lpstr>
      <vt:lpstr>DRQN</vt:lpstr>
      <vt:lpstr>RNN prediction version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2021-07-19T08:09:56Z</dcterms:modified>
</cp:coreProperties>
</file>